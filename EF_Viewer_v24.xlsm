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05" windowWidth="14805" windowHeight="7710"/>
  </bookViews>
  <sheets>
    <sheet name="Analysis" sheetId="4" r:id="rId1"/>
    <sheet name="Template" sheetId="6" state="hidden" r:id="rId2"/>
    <sheet name="Import" sheetId="5" r:id="rId3"/>
    <sheet name="Export" sheetId="7" state="hidden" r:id="rId4"/>
  </sheets>
  <functionGroups builtInGroupCount="17"/>
  <externalReferences>
    <externalReference r:id="rId5"/>
  </externalReferences>
  <definedNames>
    <definedName name="add_noise">Analysis!$Y$2</definedName>
    <definedName name="bars">Analysis!$R$1</definedName>
    <definedName name="bg_end">Analysis!$V$4</definedName>
    <definedName name="bg_start">Analysis!$U$4</definedName>
    <definedName name="cur_val">Analysis!$V$16</definedName>
    <definedName name="exp_cur">Analysis!$V$15</definedName>
    <definedName name="exp_scale">Analysis!$Q$16</definedName>
    <definedName name="med_filter">Analysis!$V$6</definedName>
    <definedName name="noise_av">Analysis!$Y$5</definedName>
    <definedName name="Sampling_rate">Analysis!$O$2</definedName>
    <definedName name="X_scale">Analysis!$R$4</definedName>
    <definedName name="X_stack">Analysis!$O$4</definedName>
    <definedName name="Y_scale">Analysis!$R$3</definedName>
    <definedName name="Y_stack">Analysis!$O$3</definedName>
  </definedNames>
  <calcPr calcId="145621"/>
</workbook>
</file>

<file path=xl/calcChain.xml><?xml version="1.0" encoding="utf-8"?>
<calcChain xmlns="http://schemas.openxmlformats.org/spreadsheetml/2006/main">
  <c r="D38" i="6" l="1"/>
  <c r="D37" i="6" l="1"/>
  <c r="V4" i="4" l="1"/>
  <c r="U4" i="4"/>
  <c r="A36" i="6" l="1"/>
  <c r="A37" i="6" s="1"/>
  <c r="C36" i="6" l="1"/>
  <c r="Y5" i="4" l="1"/>
  <c r="D36" i="6" l="1"/>
</calcChain>
</file>

<file path=xl/sharedStrings.xml><?xml version="1.0" encoding="utf-8"?>
<sst xmlns="http://schemas.openxmlformats.org/spreadsheetml/2006/main" count="66" uniqueCount="55">
  <si>
    <t>Signal</t>
  </si>
  <si>
    <t>Raw</t>
  </si>
  <si>
    <t>Modified</t>
  </si>
  <si>
    <t>X-offset</t>
  </si>
  <si>
    <t>Y-offset</t>
  </si>
  <si>
    <t>Y-Scaler</t>
  </si>
  <si>
    <t>X-Scaler</t>
  </si>
  <si>
    <t>File</t>
  </si>
  <si>
    <t>Common settings</t>
  </si>
  <si>
    <t>Sampling Rate</t>
  </si>
  <si>
    <t>Hz</t>
  </si>
  <si>
    <t>RFU</t>
  </si>
  <si>
    <t>Time (min)</t>
  </si>
  <si>
    <t>Import from Folder</t>
  </si>
  <si>
    <t>Path to data folder</t>
  </si>
  <si>
    <t>Import from Sheet</t>
  </si>
  <si>
    <t>Export to Folder</t>
  </si>
  <si>
    <t>Path to export folder</t>
  </si>
  <si>
    <t>Reset All</t>
  </si>
  <si>
    <t>Sheet Info (DO NOT MODIFY)</t>
  </si>
  <si>
    <t>Total Number of files</t>
  </si>
  <si>
    <t>Y-stacking</t>
  </si>
  <si>
    <t>X-Stacking</t>
  </si>
  <si>
    <t>min</t>
  </si>
  <si>
    <t/>
  </si>
  <si>
    <t>Signal to noise</t>
  </si>
  <si>
    <t>Start of Background (min)</t>
  </si>
  <si>
    <t>End of Background (min)</t>
  </si>
  <si>
    <t>Baseline</t>
  </si>
  <si>
    <t>Noise</t>
  </si>
  <si>
    <t>S/N</t>
  </si>
  <si>
    <t>Databars?</t>
  </si>
  <si>
    <t>Y</t>
  </si>
  <si>
    <t>N</t>
  </si>
  <si>
    <t>Note: Works only upon import</t>
  </si>
  <si>
    <t>Filter</t>
  </si>
  <si>
    <t>None</t>
  </si>
  <si>
    <t>3-point Median</t>
  </si>
  <si>
    <t>5-point Median</t>
  </si>
  <si>
    <t>Export Scaling?</t>
  </si>
  <si>
    <t>SovGol</t>
  </si>
  <si>
    <t>SovGol Settings</t>
  </si>
  <si>
    <t>Number of Points</t>
  </si>
  <si>
    <t>Derivative order</t>
  </si>
  <si>
    <t>C:\Users\Mirzok\Dropbox\Krylov Lab\1 Lab tools\01 Tools\Electropherogram Viewer\Databank\Beckman\</t>
  </si>
  <si>
    <t>Current</t>
  </si>
  <si>
    <t>Export Current?</t>
  </si>
  <si>
    <t>µA</t>
  </si>
  <si>
    <t>C:\ex\</t>
  </si>
  <si>
    <t>Paste file names in the first row.</t>
  </si>
  <si>
    <t>Signal values start in the second row.</t>
  </si>
  <si>
    <t>Artificial Noise</t>
  </si>
  <si>
    <t>Noise Average</t>
  </si>
  <si>
    <t>Add Noise?</t>
  </si>
  <si>
    <t>Signal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</si>
</sst>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"/>
    <numFmt numFmtId="166" formatCode="0.0E+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rgb="FFFF0000"/>
      <name val="Calibri"/>
      <family val="2"/>
    </font>
    <font>
      <b/>
      <sz val="8"/>
      <color rgb="FFFF0000"/>
      <name val="Calibri"/>
      <family val="2"/>
    </font>
    <font>
      <b/>
      <sz val="11"/>
      <color rgb="FFFF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5" applyNumberFormat="0" applyAlignment="0" applyProtection="0"/>
    <xf numFmtId="0" fontId="10" fillId="9" borderId="6" applyNumberFormat="0" applyAlignment="0" applyProtection="0"/>
    <xf numFmtId="0" fontId="11" fillId="9" borderId="5" applyNumberFormat="0" applyAlignment="0" applyProtection="0"/>
    <xf numFmtId="0" fontId="12" fillId="0" borderId="7" applyNumberFormat="0" applyFill="0" applyAlignment="0" applyProtection="0"/>
    <xf numFmtId="0" fontId="13" fillId="10" borderId="8" applyNumberFormat="0" applyAlignment="0" applyProtection="0"/>
    <xf numFmtId="0" fontId="14" fillId="0" borderId="0" applyNumberFormat="0" applyFill="0" applyBorder="0" applyAlignment="0" applyProtection="0"/>
    <xf numFmtId="0" fontId="1" fillId="11" borderId="9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7" fillId="35" borderId="0" applyNumberFormat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4" borderId="0" xfId="0" applyFill="1"/>
    <xf numFmtId="0" fontId="0" fillId="2" borderId="1" xfId="0" applyFill="1" applyBorder="1" applyAlignment="1">
      <alignment horizontal="center"/>
    </xf>
    <xf numFmtId="0" fontId="0" fillId="0" borderId="0" xfId="0"/>
    <xf numFmtId="0" fontId="0" fillId="3" borderId="1" xfId="0" applyFill="1" applyBorder="1"/>
    <xf numFmtId="0" fontId="0" fillId="2" borderId="1" xfId="0" applyFill="1" applyBorder="1" applyAlignment="1"/>
    <xf numFmtId="0" fontId="0" fillId="2" borderId="1" xfId="0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3" borderId="1" xfId="0" applyFont="1" applyFill="1" applyBorder="1"/>
    <xf numFmtId="0" fontId="18" fillId="36" borderId="1" xfId="0" applyFont="1" applyFill="1" applyBorder="1" applyAlignment="1">
      <alignment horizontal="center"/>
    </xf>
    <xf numFmtId="0" fontId="18" fillId="36" borderId="14" xfId="0" applyFont="1" applyFill="1" applyBorder="1" applyAlignment="1">
      <alignment horizontal="center"/>
    </xf>
    <xf numFmtId="0" fontId="18" fillId="3" borderId="14" xfId="0" applyFont="1" applyFill="1" applyBorder="1"/>
    <xf numFmtId="0" fontId="18" fillId="36" borderId="15" xfId="0" applyFont="1" applyFill="1" applyBorder="1" applyAlignment="1">
      <alignment horizontal="center"/>
    </xf>
    <xf numFmtId="0" fontId="18" fillId="36" borderId="16" xfId="0" applyFont="1" applyFill="1" applyBorder="1" applyAlignment="1">
      <alignment horizontal="center"/>
    </xf>
    <xf numFmtId="0" fontId="18" fillId="2" borderId="16" xfId="0" applyFont="1" applyFill="1" applyBorder="1" applyAlignment="1">
      <alignment horizontal="center"/>
    </xf>
    <xf numFmtId="0" fontId="0" fillId="3" borderId="11" xfId="0" applyFill="1" applyBorder="1" applyAlignment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18" fillId="36" borderId="17" xfId="0" applyFont="1" applyFill="1" applyBorder="1"/>
    <xf numFmtId="0" fontId="18" fillId="2" borderId="11" xfId="0" applyFont="1" applyFill="1" applyBorder="1" applyAlignment="1">
      <alignment horizontal="center"/>
    </xf>
    <xf numFmtId="0" fontId="18" fillId="3" borderId="11" xfId="0" applyFont="1" applyFill="1" applyBorder="1"/>
    <xf numFmtId="0" fontId="18" fillId="2" borderId="18" xfId="0" applyFont="1" applyFill="1" applyBorder="1" applyAlignment="1">
      <alignment horizontal="center"/>
    </xf>
    <xf numFmtId="0" fontId="0" fillId="4" borderId="1" xfId="0" applyFill="1" applyBorder="1"/>
    <xf numFmtId="0" fontId="18" fillId="3" borderId="11" xfId="0" applyFont="1" applyFill="1" applyBorder="1" applyAlignment="1"/>
    <xf numFmtId="0" fontId="18" fillId="3" borderId="12" xfId="0" applyFont="1" applyFill="1" applyBorder="1" applyAlignment="1"/>
    <xf numFmtId="0" fontId="18" fillId="3" borderId="13" xfId="0" applyFont="1" applyFill="1" applyBorder="1" applyAlignment="1"/>
    <xf numFmtId="0" fontId="0" fillId="0" borderId="0" xfId="0" applyFill="1"/>
    <xf numFmtId="164" fontId="0" fillId="0" borderId="11" xfId="0" applyNumberFormat="1" applyBorder="1"/>
    <xf numFmtId="0" fontId="0" fillId="37" borderId="1" xfId="0" applyFill="1" applyBorder="1"/>
    <xf numFmtId="0" fontId="0" fillId="37" borderId="1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0" borderId="0" xfId="0" applyNumberFormat="1"/>
    <xf numFmtId="0" fontId="0" fillId="2" borderId="1" xfId="0" applyFill="1" applyBorder="1" applyAlignment="1">
      <alignment horizontal="center"/>
    </xf>
    <xf numFmtId="0" fontId="0" fillId="3" borderId="13" xfId="0" quotePrefix="1" applyFill="1" applyBorder="1" applyAlignment="1"/>
    <xf numFmtId="0" fontId="0" fillId="0" borderId="0" xfId="0" quotePrefix="1"/>
    <xf numFmtId="0" fontId="0" fillId="3" borderId="13" xfId="0" applyFill="1" applyBorder="1" applyAlignment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1" fontId="0" fillId="0" borderId="0" xfId="0" applyNumberFormat="1"/>
    <xf numFmtId="0" fontId="0" fillId="38" borderId="1" xfId="0" applyFill="1" applyBorder="1" applyAlignment="1">
      <alignment horizontal="center"/>
    </xf>
    <xf numFmtId="166" fontId="0" fillId="39" borderId="1" xfId="0" applyNumberFormat="1" applyFill="1" applyBorder="1"/>
    <xf numFmtId="2" fontId="0" fillId="0" borderId="1" xfId="0" applyNumberFormat="1" applyBorder="1"/>
    <xf numFmtId="0" fontId="0" fillId="2" borderId="1" xfId="0" applyFill="1" applyBorder="1" applyAlignment="1">
      <alignment horizontal="center"/>
    </xf>
    <xf numFmtId="0" fontId="16" fillId="2" borderId="11" xfId="0" applyFont="1" applyFill="1" applyBorder="1" applyAlignment="1">
      <alignment horizontal="center"/>
    </xf>
    <xf numFmtId="0" fontId="16" fillId="2" borderId="13" xfId="0" applyFont="1" applyFill="1" applyBorder="1" applyAlignment="1">
      <alignment horizontal="center"/>
    </xf>
    <xf numFmtId="0" fontId="16" fillId="2" borderId="12" xfId="0" applyFont="1" applyFill="1" applyBorder="1" applyAlignment="1">
      <alignment horizontal="center"/>
    </xf>
    <xf numFmtId="0" fontId="18" fillId="36" borderId="14" xfId="0" applyFont="1" applyFill="1" applyBorder="1" applyAlignment="1">
      <alignment horizontal="center"/>
    </xf>
    <xf numFmtId="0" fontId="18" fillId="36" borderId="1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2" borderId="11" xfId="0" applyFont="1" applyFill="1" applyBorder="1" applyAlignment="1">
      <alignment horizontal="center"/>
    </xf>
    <xf numFmtId="3" fontId="0" fillId="3" borderId="1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3699841132121"/>
          <c:y val="3.450668666416698E-2"/>
          <c:w val="0.85211681811383622"/>
          <c:h val="0.7367415943219775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7409024"/>
        <c:axId val="47581056"/>
      </c:scatterChart>
      <c:valAx>
        <c:axId val="47409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Migration</a:t>
                </a:r>
                <a:r>
                  <a:rPr lang="en-CA" sz="1400" baseline="0"/>
                  <a:t> Time (min)</a:t>
                </a:r>
              </a:p>
            </c:rich>
          </c:tx>
          <c:layout>
            <c:manualLayout>
              <c:xMode val="edge"/>
              <c:yMode val="edge"/>
              <c:x val="0.42459289031239916"/>
              <c:y val="0.8235819384155896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47581056"/>
        <c:crosses val="autoZero"/>
        <c:crossBetween val="midCat"/>
      </c:valAx>
      <c:valAx>
        <c:axId val="475810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CA" sz="1800"/>
                  <a:t>Fluorescence</a:t>
                </a:r>
                <a:r>
                  <a:rPr lang="en-CA" sz="1800" baseline="0"/>
                  <a:t> Signal (RFU)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7.3013163022905307E-3"/>
              <c:y val="0.164386901925117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474090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8.434364284123258E-2"/>
          <c:y val="0.86681358560543098"/>
          <c:w val="0.8659757014904701"/>
          <c:h val="0.10872634902047038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98425196850393704" l="0.98425196850393704" r="1.9685039370078741" t="0.98425196850393704" header="0.51181102362204722" footer="0.5118110236220472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609599</xdr:colOff>
      <xdr:row>27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19050</xdr:rowOff>
        </xdr:from>
        <xdr:to>
          <xdr:col>14</xdr:col>
          <xdr:colOff>285750</xdr:colOff>
          <xdr:row>9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</a:rPr>
                <a:t>Import Beckman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11</xdr:row>
          <xdr:rowOff>19050</xdr:rowOff>
        </xdr:from>
        <xdr:to>
          <xdr:col>16</xdr:col>
          <xdr:colOff>0</xdr:colOff>
          <xdr:row>13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FF0000"/>
                  </a:solidFill>
                  <a:latin typeface="Calibri"/>
                </a:rPr>
                <a:t>Import from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19050</xdr:rowOff>
        </xdr:from>
        <xdr:to>
          <xdr:col>16</xdr:col>
          <xdr:colOff>0</xdr:colOff>
          <xdr:row>18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FF0000"/>
                  </a:solidFill>
                  <a:latin typeface="Calibri"/>
                </a:rPr>
                <a:t>Export to folder (Beckman)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24</xdr:row>
          <xdr:rowOff>9525</xdr:rowOff>
        </xdr:from>
        <xdr:to>
          <xdr:col>14</xdr:col>
          <xdr:colOff>9525</xdr:colOff>
          <xdr:row>25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FF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752475</xdr:colOff>
          <xdr:row>4</xdr:row>
          <xdr:rowOff>9525</xdr:rowOff>
        </xdr:from>
        <xdr:to>
          <xdr:col>15</xdr:col>
          <xdr:colOff>0</xdr:colOff>
          <xdr:row>5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FF0000"/>
                  </a:solidFill>
                  <a:latin typeface="Calibri"/>
                </a:rPr>
                <a:t>Restack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7</xdr:row>
          <xdr:rowOff>19050</xdr:rowOff>
        </xdr:from>
        <xdr:to>
          <xdr:col>16</xdr:col>
          <xdr:colOff>0</xdr:colOff>
          <xdr:row>9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</a:rPr>
                <a:t>Import MCE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Report"/>
      <sheetName val="Language"/>
      <sheetName val="Solver_dialog"/>
      <sheetName val="Add_dialog"/>
      <sheetName val="Save_dialog"/>
    </sheetNames>
    <definedNames>
      <definedName name="reset_all"/>
    </definedNames>
    <sheetDataSet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E1:AB14737"/>
  <sheetViews>
    <sheetView tabSelected="1" zoomScaleNormal="100" workbookViewId="0">
      <selection activeCell="R3" sqref="R3"/>
    </sheetView>
  </sheetViews>
  <sheetFormatPr defaultRowHeight="15" x14ac:dyDescent="0.25"/>
  <cols>
    <col min="1" max="1" width="12" bestFit="1" customWidth="1"/>
    <col min="3" max="3" width="10.7109375" bestFit="1" customWidth="1"/>
    <col min="4" max="4" width="8" bestFit="1" customWidth="1"/>
    <col min="14" max="14" width="19.7109375" customWidth="1"/>
    <col min="15" max="15" width="20.42578125" customWidth="1"/>
    <col min="17" max="17" width="15.42578125" customWidth="1"/>
    <col min="21" max="21" width="26.5703125" bestFit="1" customWidth="1"/>
    <col min="22" max="22" width="23" bestFit="1" customWidth="1"/>
    <col min="24" max="24" width="14.28515625" bestFit="1" customWidth="1"/>
    <col min="28" max="28" width="14.7109375" bestFit="1" customWidth="1"/>
  </cols>
  <sheetData>
    <row r="1" spans="5:28" x14ac:dyDescent="0.25">
      <c r="M1" s="27"/>
      <c r="N1" s="46" t="s">
        <v>8</v>
      </c>
      <c r="O1" s="48"/>
      <c r="P1" s="47"/>
      <c r="Q1" s="31" t="s">
        <v>31</v>
      </c>
      <c r="R1" s="32" t="s">
        <v>32</v>
      </c>
      <c r="U1" s="46" t="s">
        <v>25</v>
      </c>
      <c r="V1" s="47"/>
      <c r="X1" s="45" t="s">
        <v>51</v>
      </c>
      <c r="Y1" s="45"/>
      <c r="AB1" s="2" t="s">
        <v>36</v>
      </c>
    </row>
    <row r="2" spans="5:28" x14ac:dyDescent="0.25">
      <c r="E2" s="4"/>
      <c r="M2" s="27"/>
      <c r="N2" s="1" t="s">
        <v>9</v>
      </c>
      <c r="O2" s="5">
        <v>4</v>
      </c>
      <c r="P2" s="3" t="s">
        <v>10</v>
      </c>
      <c r="U2" s="1" t="s">
        <v>26</v>
      </c>
      <c r="V2" s="1" t="s">
        <v>27</v>
      </c>
      <c r="X2" s="1" t="s">
        <v>53</v>
      </c>
      <c r="Y2" s="42" t="s">
        <v>33</v>
      </c>
      <c r="AB2" s="2" t="s">
        <v>37</v>
      </c>
    </row>
    <row r="3" spans="5:28" x14ac:dyDescent="0.25">
      <c r="E3" s="4"/>
      <c r="M3" s="27"/>
      <c r="N3" s="1" t="s">
        <v>21</v>
      </c>
      <c r="O3" s="5">
        <v>0</v>
      </c>
      <c r="P3" s="7" t="s">
        <v>11</v>
      </c>
      <c r="Q3" s="1" t="s">
        <v>5</v>
      </c>
      <c r="R3" s="53">
        <v>1</v>
      </c>
      <c r="U3" s="18">
        <v>3</v>
      </c>
      <c r="V3" s="18">
        <v>4</v>
      </c>
      <c r="X3" s="1" t="s">
        <v>54</v>
      </c>
      <c r="Y3" s="44">
        <v>4</v>
      </c>
      <c r="AB3" s="2" t="s">
        <v>38</v>
      </c>
    </row>
    <row r="4" spans="5:28" x14ac:dyDescent="0.25">
      <c r="E4" s="4"/>
      <c r="M4" s="27"/>
      <c r="N4" s="1" t="s">
        <v>22</v>
      </c>
      <c r="O4" s="5">
        <v>0</v>
      </c>
      <c r="P4" s="7" t="s">
        <v>23</v>
      </c>
      <c r="Q4" s="1" t="s">
        <v>6</v>
      </c>
      <c r="R4" s="5">
        <v>1</v>
      </c>
      <c r="U4" s="23">
        <f>((U3*60)*Sampling_rate)+36</f>
        <v>756</v>
      </c>
      <c r="V4" s="23">
        <f>((V3*60)*Sampling_rate)+36</f>
        <v>996</v>
      </c>
      <c r="X4" s="1" t="s">
        <v>25</v>
      </c>
      <c r="Y4" s="18">
        <v>100</v>
      </c>
      <c r="AB4" s="2" t="s">
        <v>40</v>
      </c>
    </row>
    <row r="5" spans="5:28" x14ac:dyDescent="0.25">
      <c r="E5" s="4"/>
      <c r="M5" s="27"/>
      <c r="X5" s="1" t="s">
        <v>52</v>
      </c>
      <c r="Y5" s="43">
        <f>(Y3/Y4)</f>
        <v>0.04</v>
      </c>
    </row>
    <row r="6" spans="5:28" x14ac:dyDescent="0.25">
      <c r="E6" s="4"/>
      <c r="M6" s="27"/>
      <c r="N6" s="45" t="s">
        <v>13</v>
      </c>
      <c r="O6" s="45"/>
      <c r="P6" s="45"/>
      <c r="U6" s="33" t="s">
        <v>35</v>
      </c>
      <c r="V6" s="32" t="s">
        <v>36</v>
      </c>
    </row>
    <row r="7" spans="5:28" x14ac:dyDescent="0.25">
      <c r="E7" s="4"/>
      <c r="M7" s="27"/>
      <c r="N7" s="1" t="s">
        <v>14</v>
      </c>
      <c r="O7" s="16" t="s">
        <v>44</v>
      </c>
      <c r="P7" s="36"/>
      <c r="Q7" s="37" t="s">
        <v>24</v>
      </c>
      <c r="U7" t="s">
        <v>34</v>
      </c>
    </row>
    <row r="8" spans="5:28" x14ac:dyDescent="0.25">
      <c r="E8" s="4"/>
      <c r="M8" s="27"/>
    </row>
    <row r="9" spans="5:28" x14ac:dyDescent="0.25">
      <c r="M9" s="27"/>
      <c r="U9" s="45" t="s">
        <v>41</v>
      </c>
      <c r="V9" s="45"/>
    </row>
    <row r="10" spans="5:28" x14ac:dyDescent="0.25">
      <c r="M10" s="27"/>
      <c r="U10" s="39" t="s">
        <v>42</v>
      </c>
      <c r="V10" s="18">
        <v>9</v>
      </c>
    </row>
    <row r="11" spans="5:28" x14ac:dyDescent="0.25">
      <c r="M11" s="27"/>
      <c r="N11" s="45" t="s">
        <v>15</v>
      </c>
      <c r="O11" s="45"/>
      <c r="P11" s="45"/>
      <c r="U11" s="39" t="s">
        <v>43</v>
      </c>
      <c r="V11" s="18">
        <v>0</v>
      </c>
    </row>
    <row r="12" spans="5:28" x14ac:dyDescent="0.25">
      <c r="M12" s="27"/>
    </row>
    <row r="13" spans="5:28" x14ac:dyDescent="0.25">
      <c r="M13" s="27"/>
    </row>
    <row r="14" spans="5:28" x14ac:dyDescent="0.25">
      <c r="M14" s="27"/>
    </row>
    <row r="15" spans="5:28" x14ac:dyDescent="0.25">
      <c r="M15" s="27"/>
      <c r="N15" s="45" t="s">
        <v>16</v>
      </c>
      <c r="O15" s="45"/>
      <c r="P15" s="45"/>
      <c r="Q15" s="35" t="s">
        <v>39</v>
      </c>
      <c r="U15" s="40" t="s">
        <v>46</v>
      </c>
      <c r="V15" s="32" t="s">
        <v>33</v>
      </c>
    </row>
    <row r="16" spans="5:28" x14ac:dyDescent="0.25">
      <c r="M16" s="27"/>
      <c r="N16" s="1" t="s">
        <v>17</v>
      </c>
      <c r="O16" s="16" t="s">
        <v>48</v>
      </c>
      <c r="P16" s="38"/>
      <c r="Q16" s="32" t="s">
        <v>32</v>
      </c>
      <c r="U16" s="40" t="s">
        <v>45</v>
      </c>
      <c r="V16" s="5">
        <v>100</v>
      </c>
      <c r="W16" s="40" t="s">
        <v>47</v>
      </c>
    </row>
    <row r="17" spans="13:22" x14ac:dyDescent="0.25">
      <c r="M17" s="27"/>
    </row>
    <row r="18" spans="13:22" x14ac:dyDescent="0.25">
      <c r="M18" s="27"/>
    </row>
    <row r="19" spans="13:22" x14ac:dyDescent="0.25">
      <c r="M19" s="27"/>
    </row>
    <row r="20" spans="13:22" x14ac:dyDescent="0.25">
      <c r="M20" s="27"/>
    </row>
    <row r="21" spans="13:22" x14ac:dyDescent="0.25">
      <c r="M21" s="27"/>
      <c r="N21" s="2" t="s">
        <v>19</v>
      </c>
      <c r="O21" s="2"/>
      <c r="P21" s="2" t="s">
        <v>32</v>
      </c>
    </row>
    <row r="22" spans="13:22" x14ac:dyDescent="0.25">
      <c r="M22" s="27"/>
      <c r="N22" s="2" t="s">
        <v>20</v>
      </c>
      <c r="O22" s="2">
        <v>0</v>
      </c>
      <c r="P22" s="2" t="s">
        <v>33</v>
      </c>
    </row>
    <row r="23" spans="13:22" x14ac:dyDescent="0.25">
      <c r="M23" s="27"/>
    </row>
    <row r="24" spans="13:22" x14ac:dyDescent="0.25">
      <c r="M24" s="27"/>
      <c r="N24" s="6" t="s">
        <v>18</v>
      </c>
      <c r="U24" s="4"/>
    </row>
    <row r="25" spans="13:22" x14ac:dyDescent="0.25">
      <c r="M25" s="27"/>
      <c r="U25" s="4"/>
    </row>
    <row r="26" spans="13:22" x14ac:dyDescent="0.25">
      <c r="M26" s="27"/>
      <c r="U26" s="41"/>
      <c r="V26" s="41"/>
    </row>
    <row r="27" spans="13:22" x14ac:dyDescent="0.25">
      <c r="M27" s="27"/>
    </row>
    <row r="28" spans="13:22" x14ac:dyDescent="0.25">
      <c r="M28" s="27"/>
    </row>
    <row r="10037" spans="5:8" x14ac:dyDescent="0.25">
      <c r="E10037" s="34"/>
      <c r="G10037" s="34"/>
      <c r="H10037" s="4"/>
    </row>
    <row r="10038" spans="5:8" x14ac:dyDescent="0.25">
      <c r="E10038" s="34"/>
      <c r="G10038" s="34"/>
      <c r="H10038" s="4"/>
    </row>
    <row r="10039" spans="5:8" x14ac:dyDescent="0.25">
      <c r="E10039" s="34"/>
      <c r="G10039" s="34"/>
      <c r="H10039" s="4"/>
    </row>
    <row r="10040" spans="5:8" x14ac:dyDescent="0.25">
      <c r="E10040" s="34"/>
      <c r="G10040" s="34"/>
      <c r="H10040" s="4"/>
    </row>
    <row r="10041" spans="5:8" x14ac:dyDescent="0.25">
      <c r="E10041" s="34"/>
      <c r="G10041" s="34"/>
      <c r="H10041" s="4"/>
    </row>
    <row r="10042" spans="5:8" x14ac:dyDescent="0.25">
      <c r="E10042" s="34"/>
      <c r="G10042" s="34"/>
      <c r="H10042" s="4"/>
    </row>
    <row r="10043" spans="5:8" x14ac:dyDescent="0.25">
      <c r="E10043" s="34"/>
      <c r="G10043" s="34"/>
      <c r="H10043" s="4"/>
    </row>
    <row r="10044" spans="5:8" x14ac:dyDescent="0.25">
      <c r="E10044" s="34"/>
      <c r="G10044" s="34"/>
      <c r="H10044" s="4"/>
    </row>
    <row r="10045" spans="5:8" x14ac:dyDescent="0.25">
      <c r="E10045" s="34"/>
      <c r="G10045" s="34"/>
      <c r="H10045" s="4"/>
    </row>
    <row r="10046" spans="5:8" x14ac:dyDescent="0.25">
      <c r="E10046" s="34"/>
      <c r="G10046" s="34"/>
      <c r="H10046" s="4"/>
    </row>
    <row r="10047" spans="5:8" x14ac:dyDescent="0.25">
      <c r="E10047" s="34"/>
      <c r="G10047" s="34"/>
      <c r="H10047" s="4"/>
    </row>
    <row r="10048" spans="5:8" x14ac:dyDescent="0.25">
      <c r="E10048" s="34"/>
      <c r="G10048" s="34"/>
      <c r="H10048" s="4"/>
    </row>
    <row r="10049" spans="5:8" x14ac:dyDescent="0.25">
      <c r="E10049" s="34"/>
      <c r="G10049" s="34"/>
      <c r="H10049" s="4"/>
    </row>
    <row r="10050" spans="5:8" x14ac:dyDescent="0.25">
      <c r="E10050" s="34"/>
      <c r="G10050" s="34"/>
      <c r="H10050" s="4"/>
    </row>
    <row r="10051" spans="5:8" x14ac:dyDescent="0.25">
      <c r="E10051" s="34"/>
      <c r="G10051" s="34"/>
      <c r="H10051" s="4"/>
    </row>
    <row r="10052" spans="5:8" x14ac:dyDescent="0.25">
      <c r="E10052" s="34"/>
      <c r="G10052" s="34"/>
      <c r="H10052" s="4"/>
    </row>
    <row r="10053" spans="5:8" x14ac:dyDescent="0.25">
      <c r="E10053" s="34"/>
      <c r="G10053" s="34"/>
      <c r="H10053" s="4"/>
    </row>
    <row r="10054" spans="5:8" x14ac:dyDescent="0.25">
      <c r="E10054" s="34"/>
      <c r="G10054" s="34"/>
      <c r="H10054" s="4"/>
    </row>
    <row r="10055" spans="5:8" x14ac:dyDescent="0.25">
      <c r="E10055" s="34"/>
      <c r="G10055" s="34"/>
      <c r="H10055" s="4"/>
    </row>
    <row r="10056" spans="5:8" x14ac:dyDescent="0.25">
      <c r="E10056" s="34"/>
      <c r="G10056" s="34"/>
      <c r="H10056" s="4"/>
    </row>
    <row r="10057" spans="5:8" x14ac:dyDescent="0.25">
      <c r="E10057" s="34"/>
      <c r="G10057" s="34"/>
      <c r="H10057" s="4"/>
    </row>
    <row r="10058" spans="5:8" x14ac:dyDescent="0.25">
      <c r="E10058" s="34"/>
      <c r="G10058" s="34"/>
      <c r="H10058" s="4"/>
    </row>
    <row r="10059" spans="5:8" x14ac:dyDescent="0.25">
      <c r="E10059" s="34"/>
      <c r="G10059" s="34"/>
      <c r="H10059" s="4"/>
    </row>
    <row r="10060" spans="5:8" x14ac:dyDescent="0.25">
      <c r="E10060" s="34"/>
      <c r="G10060" s="34"/>
      <c r="H10060" s="4"/>
    </row>
    <row r="10061" spans="5:8" x14ac:dyDescent="0.25">
      <c r="E10061" s="34"/>
      <c r="G10061" s="34"/>
      <c r="H10061" s="4"/>
    </row>
    <row r="10062" spans="5:8" x14ac:dyDescent="0.25">
      <c r="E10062" s="34"/>
      <c r="G10062" s="34"/>
      <c r="H10062" s="4"/>
    </row>
    <row r="10063" spans="5:8" x14ac:dyDescent="0.25">
      <c r="E10063" s="34"/>
      <c r="G10063" s="34"/>
      <c r="H10063" s="4"/>
    </row>
    <row r="10064" spans="5:8" x14ac:dyDescent="0.25">
      <c r="E10064" s="34"/>
      <c r="G10064" s="34"/>
      <c r="H10064" s="4"/>
    </row>
    <row r="10065" spans="5:8" x14ac:dyDescent="0.25">
      <c r="E10065" s="34"/>
      <c r="G10065" s="34"/>
      <c r="H10065" s="4"/>
    </row>
    <row r="10066" spans="5:8" x14ac:dyDescent="0.25">
      <c r="E10066" s="34"/>
      <c r="G10066" s="34"/>
      <c r="H10066" s="4"/>
    </row>
    <row r="10067" spans="5:8" x14ac:dyDescent="0.25">
      <c r="E10067" s="34"/>
      <c r="G10067" s="34"/>
      <c r="H10067" s="4"/>
    </row>
    <row r="10068" spans="5:8" x14ac:dyDescent="0.25">
      <c r="E10068" s="34"/>
      <c r="G10068" s="34"/>
      <c r="H10068" s="4"/>
    </row>
    <row r="10069" spans="5:8" x14ac:dyDescent="0.25">
      <c r="E10069" s="34"/>
      <c r="G10069" s="34"/>
      <c r="H10069" s="4"/>
    </row>
    <row r="10070" spans="5:8" x14ac:dyDescent="0.25">
      <c r="E10070" s="34"/>
      <c r="G10070" s="34"/>
      <c r="H10070" s="4"/>
    </row>
    <row r="10071" spans="5:8" x14ac:dyDescent="0.25">
      <c r="E10071" s="34"/>
      <c r="G10071" s="34"/>
      <c r="H10071" s="4"/>
    </row>
    <row r="10072" spans="5:8" x14ac:dyDescent="0.25">
      <c r="E10072" s="34"/>
      <c r="G10072" s="34"/>
      <c r="H10072" s="4"/>
    </row>
    <row r="10073" spans="5:8" x14ac:dyDescent="0.25">
      <c r="E10073" s="34"/>
      <c r="G10073" s="34"/>
      <c r="H10073" s="4"/>
    </row>
    <row r="10074" spans="5:8" x14ac:dyDescent="0.25">
      <c r="E10074" s="34"/>
      <c r="G10074" s="34"/>
      <c r="H10074" s="4"/>
    </row>
    <row r="10075" spans="5:8" x14ac:dyDescent="0.25">
      <c r="E10075" s="34"/>
      <c r="G10075" s="34"/>
      <c r="H10075" s="4"/>
    </row>
    <row r="10076" spans="5:8" x14ac:dyDescent="0.25">
      <c r="E10076" s="34"/>
      <c r="G10076" s="34"/>
      <c r="H10076" s="4"/>
    </row>
    <row r="10077" spans="5:8" x14ac:dyDescent="0.25">
      <c r="E10077" s="34"/>
      <c r="G10077" s="34"/>
      <c r="H10077" s="4"/>
    </row>
    <row r="10078" spans="5:8" x14ac:dyDescent="0.25">
      <c r="E10078" s="34"/>
      <c r="G10078" s="34"/>
      <c r="H10078" s="4"/>
    </row>
    <row r="10079" spans="5:8" x14ac:dyDescent="0.25">
      <c r="E10079" s="34"/>
      <c r="G10079" s="34"/>
      <c r="H10079" s="4"/>
    </row>
    <row r="10080" spans="5:8" x14ac:dyDescent="0.25">
      <c r="E10080" s="34"/>
      <c r="G10080" s="34"/>
      <c r="H10080" s="4"/>
    </row>
    <row r="10081" spans="5:8" x14ac:dyDescent="0.25">
      <c r="E10081" s="34"/>
      <c r="G10081" s="34"/>
      <c r="H10081" s="4"/>
    </row>
    <row r="10082" spans="5:8" x14ac:dyDescent="0.25">
      <c r="E10082" s="34"/>
      <c r="G10082" s="34"/>
      <c r="H10082" s="4"/>
    </row>
    <row r="10083" spans="5:8" x14ac:dyDescent="0.25">
      <c r="E10083" s="34"/>
      <c r="G10083" s="34"/>
      <c r="H10083" s="4"/>
    </row>
    <row r="10084" spans="5:8" x14ac:dyDescent="0.25">
      <c r="E10084" s="34"/>
      <c r="G10084" s="34"/>
      <c r="H10084" s="4"/>
    </row>
    <row r="10085" spans="5:8" x14ac:dyDescent="0.25">
      <c r="E10085" s="34"/>
      <c r="G10085" s="34"/>
      <c r="H10085" s="4"/>
    </row>
    <row r="10086" spans="5:8" x14ac:dyDescent="0.25">
      <c r="E10086" s="34"/>
      <c r="G10086" s="34"/>
      <c r="H10086" s="4"/>
    </row>
    <row r="10087" spans="5:8" x14ac:dyDescent="0.25">
      <c r="E10087" s="34"/>
      <c r="G10087" s="34"/>
      <c r="H10087" s="4"/>
    </row>
    <row r="10088" spans="5:8" x14ac:dyDescent="0.25">
      <c r="E10088" s="34"/>
      <c r="G10088" s="34"/>
      <c r="H10088" s="4"/>
    </row>
    <row r="10089" spans="5:8" x14ac:dyDescent="0.25">
      <c r="E10089" s="34"/>
      <c r="G10089" s="34"/>
      <c r="H10089" s="4"/>
    </row>
    <row r="10090" spans="5:8" x14ac:dyDescent="0.25">
      <c r="E10090" s="34"/>
      <c r="G10090" s="34"/>
      <c r="H10090" s="4"/>
    </row>
    <row r="10091" spans="5:8" x14ac:dyDescent="0.25">
      <c r="E10091" s="34"/>
      <c r="G10091" s="34"/>
      <c r="H10091" s="4"/>
    </row>
    <row r="10092" spans="5:8" x14ac:dyDescent="0.25">
      <c r="E10092" s="34"/>
      <c r="G10092" s="34"/>
      <c r="H10092" s="4"/>
    </row>
    <row r="10093" spans="5:8" x14ac:dyDescent="0.25">
      <c r="E10093" s="34"/>
      <c r="G10093" s="34"/>
      <c r="H10093" s="4"/>
    </row>
    <row r="10094" spans="5:8" x14ac:dyDescent="0.25">
      <c r="E10094" s="34"/>
      <c r="G10094" s="34"/>
      <c r="H10094" s="4"/>
    </row>
    <row r="10095" spans="5:8" x14ac:dyDescent="0.25">
      <c r="E10095" s="34"/>
      <c r="G10095" s="34"/>
      <c r="H10095" s="4"/>
    </row>
    <row r="10096" spans="5:8" x14ac:dyDescent="0.25">
      <c r="E10096" s="34"/>
      <c r="G10096" s="34"/>
      <c r="H10096" s="4"/>
    </row>
    <row r="10097" spans="5:8" x14ac:dyDescent="0.25">
      <c r="E10097" s="34"/>
      <c r="G10097" s="34"/>
      <c r="H10097" s="4"/>
    </row>
    <row r="10098" spans="5:8" x14ac:dyDescent="0.25">
      <c r="E10098" s="34"/>
      <c r="G10098" s="34"/>
      <c r="H10098" s="4"/>
    </row>
    <row r="10099" spans="5:8" x14ac:dyDescent="0.25">
      <c r="E10099" s="34"/>
      <c r="G10099" s="34"/>
      <c r="H10099" s="4"/>
    </row>
    <row r="10100" spans="5:8" x14ac:dyDescent="0.25">
      <c r="E10100" s="34"/>
      <c r="G10100" s="34"/>
      <c r="H10100" s="4"/>
    </row>
    <row r="10101" spans="5:8" x14ac:dyDescent="0.25">
      <c r="E10101" s="34"/>
      <c r="G10101" s="34"/>
      <c r="H10101" s="4"/>
    </row>
    <row r="10102" spans="5:8" x14ac:dyDescent="0.25">
      <c r="E10102" s="34"/>
      <c r="G10102" s="34"/>
      <c r="H10102" s="4"/>
    </row>
    <row r="10103" spans="5:8" x14ac:dyDescent="0.25">
      <c r="E10103" s="34"/>
      <c r="G10103" s="34"/>
      <c r="H10103" s="4"/>
    </row>
    <row r="10104" spans="5:8" x14ac:dyDescent="0.25">
      <c r="E10104" s="34"/>
      <c r="G10104" s="34"/>
      <c r="H10104" s="4"/>
    </row>
    <row r="10105" spans="5:8" x14ac:dyDescent="0.25">
      <c r="E10105" s="34"/>
      <c r="G10105" s="34"/>
      <c r="H10105" s="4"/>
    </row>
    <row r="10106" spans="5:8" x14ac:dyDescent="0.25">
      <c r="E10106" s="34"/>
      <c r="G10106" s="34"/>
      <c r="H10106" s="4"/>
    </row>
    <row r="10107" spans="5:8" x14ac:dyDescent="0.25">
      <c r="E10107" s="34"/>
      <c r="G10107" s="34"/>
      <c r="H10107" s="4"/>
    </row>
    <row r="10108" spans="5:8" x14ac:dyDescent="0.25">
      <c r="E10108" s="34"/>
      <c r="G10108" s="34"/>
      <c r="H10108" s="4"/>
    </row>
    <row r="10109" spans="5:8" x14ac:dyDescent="0.25">
      <c r="E10109" s="34"/>
      <c r="G10109" s="34"/>
      <c r="H10109" s="4"/>
    </row>
    <row r="10110" spans="5:8" x14ac:dyDescent="0.25">
      <c r="E10110" s="34"/>
      <c r="G10110" s="34"/>
      <c r="H10110" s="4"/>
    </row>
    <row r="10111" spans="5:8" x14ac:dyDescent="0.25">
      <c r="E10111" s="34"/>
      <c r="G10111" s="34"/>
      <c r="H10111" s="4"/>
    </row>
    <row r="10112" spans="5:8" x14ac:dyDescent="0.25">
      <c r="E10112" s="34"/>
      <c r="G10112" s="34"/>
      <c r="H10112" s="4"/>
    </row>
    <row r="10113" spans="5:8" x14ac:dyDescent="0.25">
      <c r="E10113" s="34"/>
      <c r="G10113" s="34"/>
      <c r="H10113" s="4"/>
    </row>
    <row r="10114" spans="5:8" x14ac:dyDescent="0.25">
      <c r="E10114" s="34"/>
      <c r="G10114" s="34"/>
      <c r="H10114" s="4"/>
    </row>
    <row r="10115" spans="5:8" x14ac:dyDescent="0.25">
      <c r="E10115" s="34"/>
      <c r="G10115" s="34"/>
      <c r="H10115" s="4"/>
    </row>
    <row r="10116" spans="5:8" x14ac:dyDescent="0.25">
      <c r="E10116" s="34"/>
      <c r="G10116" s="34"/>
      <c r="H10116" s="4"/>
    </row>
    <row r="10117" spans="5:8" x14ac:dyDescent="0.25">
      <c r="E10117" s="34"/>
      <c r="G10117" s="34"/>
      <c r="H10117" s="4"/>
    </row>
    <row r="10118" spans="5:8" x14ac:dyDescent="0.25">
      <c r="E10118" s="34"/>
      <c r="G10118" s="34"/>
      <c r="H10118" s="4"/>
    </row>
    <row r="10119" spans="5:8" x14ac:dyDescent="0.25">
      <c r="E10119" s="34"/>
      <c r="G10119" s="34"/>
      <c r="H10119" s="4"/>
    </row>
    <row r="10120" spans="5:8" x14ac:dyDescent="0.25">
      <c r="E10120" s="34"/>
      <c r="G10120" s="34"/>
      <c r="H10120" s="4"/>
    </row>
    <row r="10121" spans="5:8" x14ac:dyDescent="0.25">
      <c r="E10121" s="34"/>
      <c r="G10121" s="34"/>
      <c r="H10121" s="4"/>
    </row>
    <row r="10122" spans="5:8" x14ac:dyDescent="0.25">
      <c r="E10122" s="34"/>
      <c r="G10122" s="34"/>
      <c r="H10122" s="4"/>
    </row>
    <row r="10123" spans="5:8" x14ac:dyDescent="0.25">
      <c r="E10123" s="34"/>
      <c r="G10123" s="34"/>
      <c r="H10123" s="4"/>
    </row>
    <row r="10124" spans="5:8" x14ac:dyDescent="0.25">
      <c r="E10124" s="34"/>
      <c r="G10124" s="34"/>
      <c r="H10124" s="4"/>
    </row>
    <row r="10125" spans="5:8" x14ac:dyDescent="0.25">
      <c r="E10125" s="34"/>
      <c r="G10125" s="34"/>
      <c r="H10125" s="4"/>
    </row>
    <row r="10126" spans="5:8" x14ac:dyDescent="0.25">
      <c r="E10126" s="34"/>
      <c r="G10126" s="34"/>
      <c r="H10126" s="4"/>
    </row>
    <row r="10127" spans="5:8" x14ac:dyDescent="0.25">
      <c r="E10127" s="34"/>
      <c r="G10127" s="34"/>
      <c r="H10127" s="4"/>
    </row>
    <row r="10128" spans="5:8" x14ac:dyDescent="0.25">
      <c r="E10128" s="34"/>
      <c r="G10128" s="34"/>
      <c r="H10128" s="4"/>
    </row>
    <row r="10129" spans="5:8" x14ac:dyDescent="0.25">
      <c r="E10129" s="34"/>
      <c r="G10129" s="34"/>
      <c r="H10129" s="4"/>
    </row>
    <row r="10130" spans="5:8" x14ac:dyDescent="0.25">
      <c r="E10130" s="34"/>
      <c r="G10130" s="34"/>
      <c r="H10130" s="4"/>
    </row>
    <row r="10131" spans="5:8" x14ac:dyDescent="0.25">
      <c r="E10131" s="34"/>
      <c r="G10131" s="34"/>
      <c r="H10131" s="4"/>
    </row>
    <row r="10132" spans="5:8" x14ac:dyDescent="0.25">
      <c r="E10132" s="34"/>
      <c r="G10132" s="34"/>
      <c r="H10132" s="4"/>
    </row>
    <row r="10133" spans="5:8" x14ac:dyDescent="0.25">
      <c r="E10133" s="34"/>
      <c r="G10133" s="34"/>
      <c r="H10133" s="4"/>
    </row>
    <row r="10134" spans="5:8" x14ac:dyDescent="0.25">
      <c r="E10134" s="34"/>
      <c r="G10134" s="34"/>
      <c r="H10134" s="4"/>
    </row>
    <row r="10135" spans="5:8" x14ac:dyDescent="0.25">
      <c r="E10135" s="34"/>
      <c r="G10135" s="34"/>
      <c r="H10135" s="4"/>
    </row>
    <row r="10136" spans="5:8" x14ac:dyDescent="0.25">
      <c r="E10136" s="34"/>
      <c r="G10136" s="34"/>
      <c r="H10136" s="4"/>
    </row>
    <row r="10137" spans="5:8" x14ac:dyDescent="0.25">
      <c r="E10137" s="34"/>
      <c r="G10137" s="34"/>
      <c r="H10137" s="4"/>
    </row>
    <row r="10138" spans="5:8" x14ac:dyDescent="0.25">
      <c r="E10138" s="34"/>
      <c r="G10138" s="34"/>
      <c r="H10138" s="4"/>
    </row>
    <row r="10139" spans="5:8" x14ac:dyDescent="0.25">
      <c r="E10139" s="34"/>
      <c r="G10139" s="34"/>
      <c r="H10139" s="4"/>
    </row>
    <row r="10140" spans="5:8" x14ac:dyDescent="0.25">
      <c r="E10140" s="34"/>
      <c r="G10140" s="34"/>
      <c r="H10140" s="4"/>
    </row>
    <row r="10141" spans="5:8" x14ac:dyDescent="0.25">
      <c r="E10141" s="34"/>
      <c r="G10141" s="34"/>
      <c r="H10141" s="4"/>
    </row>
    <row r="10142" spans="5:8" x14ac:dyDescent="0.25">
      <c r="E10142" s="34"/>
      <c r="G10142" s="34"/>
      <c r="H10142" s="4"/>
    </row>
    <row r="10143" spans="5:8" x14ac:dyDescent="0.25">
      <c r="E10143" s="34"/>
      <c r="G10143" s="34"/>
      <c r="H10143" s="4"/>
    </row>
    <row r="10144" spans="5:8" x14ac:dyDescent="0.25">
      <c r="E10144" s="34"/>
      <c r="G10144" s="34"/>
      <c r="H10144" s="4"/>
    </row>
    <row r="10145" spans="5:8" x14ac:dyDescent="0.25">
      <c r="E10145" s="34"/>
      <c r="G10145" s="34"/>
      <c r="H10145" s="4"/>
    </row>
    <row r="10146" spans="5:8" x14ac:dyDescent="0.25">
      <c r="E10146" s="34"/>
      <c r="G10146" s="34"/>
      <c r="H10146" s="4"/>
    </row>
    <row r="10147" spans="5:8" x14ac:dyDescent="0.25">
      <c r="E10147" s="34"/>
      <c r="G10147" s="34"/>
      <c r="H10147" s="4"/>
    </row>
    <row r="10148" spans="5:8" x14ac:dyDescent="0.25">
      <c r="E10148" s="34"/>
      <c r="G10148" s="34"/>
      <c r="H10148" s="4"/>
    </row>
    <row r="10149" spans="5:8" x14ac:dyDescent="0.25">
      <c r="E10149" s="34"/>
      <c r="G10149" s="34"/>
      <c r="H10149" s="4"/>
    </row>
    <row r="10150" spans="5:8" x14ac:dyDescent="0.25">
      <c r="E10150" s="34"/>
      <c r="G10150" s="34"/>
      <c r="H10150" s="4"/>
    </row>
    <row r="10151" spans="5:8" x14ac:dyDescent="0.25">
      <c r="E10151" s="34"/>
      <c r="G10151" s="34"/>
      <c r="H10151" s="4"/>
    </row>
    <row r="10152" spans="5:8" x14ac:dyDescent="0.25">
      <c r="E10152" s="34"/>
      <c r="G10152" s="34"/>
      <c r="H10152" s="4"/>
    </row>
    <row r="10153" spans="5:8" x14ac:dyDescent="0.25">
      <c r="E10153" s="34"/>
      <c r="G10153" s="34"/>
      <c r="H10153" s="4"/>
    </row>
    <row r="10154" spans="5:8" x14ac:dyDescent="0.25">
      <c r="E10154" s="34"/>
      <c r="G10154" s="34"/>
      <c r="H10154" s="4"/>
    </row>
    <row r="10155" spans="5:8" x14ac:dyDescent="0.25">
      <c r="E10155" s="34"/>
      <c r="G10155" s="34"/>
      <c r="H10155" s="4"/>
    </row>
    <row r="10156" spans="5:8" x14ac:dyDescent="0.25">
      <c r="E10156" s="34"/>
      <c r="G10156" s="34"/>
      <c r="H10156" s="4"/>
    </row>
    <row r="10157" spans="5:8" x14ac:dyDescent="0.25">
      <c r="E10157" s="34"/>
      <c r="G10157" s="34"/>
      <c r="H10157" s="4"/>
    </row>
    <row r="10158" spans="5:8" x14ac:dyDescent="0.25">
      <c r="E10158" s="34"/>
      <c r="G10158" s="34"/>
      <c r="H10158" s="4"/>
    </row>
    <row r="10159" spans="5:8" x14ac:dyDescent="0.25">
      <c r="E10159" s="34"/>
      <c r="G10159" s="34"/>
      <c r="H10159" s="4"/>
    </row>
    <row r="10160" spans="5:8" x14ac:dyDescent="0.25">
      <c r="E10160" s="34"/>
      <c r="G10160" s="34"/>
      <c r="H10160" s="4"/>
    </row>
    <row r="10161" spans="5:8" x14ac:dyDescent="0.25">
      <c r="E10161" s="34"/>
      <c r="G10161" s="34"/>
      <c r="H10161" s="4"/>
    </row>
    <row r="10162" spans="5:8" x14ac:dyDescent="0.25">
      <c r="E10162" s="34"/>
      <c r="G10162" s="34"/>
      <c r="H10162" s="4"/>
    </row>
    <row r="10163" spans="5:8" x14ac:dyDescent="0.25">
      <c r="E10163" s="34"/>
      <c r="G10163" s="34"/>
      <c r="H10163" s="4"/>
    </row>
    <row r="10164" spans="5:8" x14ac:dyDescent="0.25">
      <c r="E10164" s="34"/>
      <c r="G10164" s="34"/>
      <c r="H10164" s="4"/>
    </row>
    <row r="10165" spans="5:8" x14ac:dyDescent="0.25">
      <c r="E10165" s="34"/>
      <c r="G10165" s="34"/>
      <c r="H10165" s="4"/>
    </row>
    <row r="10166" spans="5:8" x14ac:dyDescent="0.25">
      <c r="E10166" s="34"/>
      <c r="G10166" s="34"/>
      <c r="H10166" s="4"/>
    </row>
    <row r="10167" spans="5:8" x14ac:dyDescent="0.25">
      <c r="E10167" s="34"/>
      <c r="G10167" s="34"/>
      <c r="H10167" s="4"/>
    </row>
    <row r="10168" spans="5:8" x14ac:dyDescent="0.25">
      <c r="E10168" s="34"/>
      <c r="G10168" s="34"/>
      <c r="H10168" s="4"/>
    </row>
    <row r="10169" spans="5:8" x14ac:dyDescent="0.25">
      <c r="E10169" s="34"/>
      <c r="G10169" s="34"/>
      <c r="H10169" s="4"/>
    </row>
    <row r="10170" spans="5:8" x14ac:dyDescent="0.25">
      <c r="E10170" s="34"/>
      <c r="G10170" s="34"/>
      <c r="H10170" s="4"/>
    </row>
    <row r="10171" spans="5:8" x14ac:dyDescent="0.25">
      <c r="E10171" s="34"/>
      <c r="G10171" s="34"/>
      <c r="H10171" s="4"/>
    </row>
    <row r="10172" spans="5:8" x14ac:dyDescent="0.25">
      <c r="E10172" s="34"/>
      <c r="G10172" s="34"/>
      <c r="H10172" s="4"/>
    </row>
    <row r="10173" spans="5:8" x14ac:dyDescent="0.25">
      <c r="E10173" s="34"/>
      <c r="G10173" s="34"/>
      <c r="H10173" s="4"/>
    </row>
    <row r="10174" spans="5:8" x14ac:dyDescent="0.25">
      <c r="E10174" s="34"/>
      <c r="G10174" s="34"/>
      <c r="H10174" s="4"/>
    </row>
    <row r="10175" spans="5:8" x14ac:dyDescent="0.25">
      <c r="E10175" s="34"/>
      <c r="G10175" s="34"/>
      <c r="H10175" s="4"/>
    </row>
    <row r="10176" spans="5:8" x14ac:dyDescent="0.25">
      <c r="E10176" s="34"/>
      <c r="G10176" s="34"/>
      <c r="H10176" s="4"/>
    </row>
    <row r="10177" spans="5:8" x14ac:dyDescent="0.25">
      <c r="E10177" s="34"/>
      <c r="G10177" s="34"/>
      <c r="H10177" s="4"/>
    </row>
    <row r="10178" spans="5:8" x14ac:dyDescent="0.25">
      <c r="E10178" s="34"/>
      <c r="G10178" s="34"/>
      <c r="H10178" s="4"/>
    </row>
    <row r="10179" spans="5:8" x14ac:dyDescent="0.25">
      <c r="E10179" s="34"/>
      <c r="G10179" s="34"/>
      <c r="H10179" s="4"/>
    </row>
    <row r="10180" spans="5:8" x14ac:dyDescent="0.25">
      <c r="E10180" s="34"/>
      <c r="G10180" s="34"/>
      <c r="H10180" s="4"/>
    </row>
    <row r="10181" spans="5:8" x14ac:dyDescent="0.25">
      <c r="E10181" s="34"/>
      <c r="G10181" s="34"/>
      <c r="H10181" s="4"/>
    </row>
    <row r="10182" spans="5:8" x14ac:dyDescent="0.25">
      <c r="E10182" s="34"/>
      <c r="G10182" s="34"/>
      <c r="H10182" s="4"/>
    </row>
    <row r="10183" spans="5:8" x14ac:dyDescent="0.25">
      <c r="E10183" s="34"/>
      <c r="G10183" s="34"/>
      <c r="H10183" s="4"/>
    </row>
    <row r="10184" spans="5:8" x14ac:dyDescent="0.25">
      <c r="E10184" s="34"/>
      <c r="G10184" s="34"/>
      <c r="H10184" s="4"/>
    </row>
    <row r="10185" spans="5:8" x14ac:dyDescent="0.25">
      <c r="E10185" s="34"/>
      <c r="G10185" s="34"/>
      <c r="H10185" s="4"/>
    </row>
    <row r="10186" spans="5:8" x14ac:dyDescent="0.25">
      <c r="E10186" s="34"/>
      <c r="G10186" s="34"/>
      <c r="H10186" s="4"/>
    </row>
    <row r="10187" spans="5:8" x14ac:dyDescent="0.25">
      <c r="E10187" s="34"/>
      <c r="G10187" s="34"/>
      <c r="H10187" s="4"/>
    </row>
    <row r="10188" spans="5:8" x14ac:dyDescent="0.25">
      <c r="E10188" s="34"/>
      <c r="G10188" s="34"/>
      <c r="H10188" s="4"/>
    </row>
    <row r="10189" spans="5:8" x14ac:dyDescent="0.25">
      <c r="E10189" s="34"/>
      <c r="G10189" s="34"/>
      <c r="H10189" s="4"/>
    </row>
    <row r="10190" spans="5:8" x14ac:dyDescent="0.25">
      <c r="E10190" s="34"/>
      <c r="G10190" s="34"/>
      <c r="H10190" s="4"/>
    </row>
    <row r="10191" spans="5:8" x14ac:dyDescent="0.25">
      <c r="E10191" s="34"/>
      <c r="G10191" s="34"/>
      <c r="H10191" s="4"/>
    </row>
    <row r="10192" spans="5:8" x14ac:dyDescent="0.25">
      <c r="E10192" s="34"/>
      <c r="G10192" s="34"/>
      <c r="H10192" s="4"/>
    </row>
    <row r="10193" spans="5:8" x14ac:dyDescent="0.25">
      <c r="E10193" s="34"/>
      <c r="G10193" s="34"/>
      <c r="H10193" s="4"/>
    </row>
    <row r="10194" spans="5:8" x14ac:dyDescent="0.25">
      <c r="E10194" s="34"/>
      <c r="G10194" s="34"/>
      <c r="H10194" s="4"/>
    </row>
    <row r="10195" spans="5:8" x14ac:dyDescent="0.25">
      <c r="E10195" s="34"/>
      <c r="G10195" s="34"/>
      <c r="H10195" s="4"/>
    </row>
    <row r="10196" spans="5:8" x14ac:dyDescent="0.25">
      <c r="E10196" s="34"/>
      <c r="G10196" s="34"/>
      <c r="H10196" s="4"/>
    </row>
    <row r="10197" spans="5:8" x14ac:dyDescent="0.25">
      <c r="E10197" s="34"/>
      <c r="G10197" s="34"/>
      <c r="H10197" s="4"/>
    </row>
    <row r="10198" spans="5:8" x14ac:dyDescent="0.25">
      <c r="E10198" s="34"/>
      <c r="G10198" s="34"/>
      <c r="H10198" s="4"/>
    </row>
    <row r="10199" spans="5:8" x14ac:dyDescent="0.25">
      <c r="E10199" s="34"/>
      <c r="G10199" s="34"/>
      <c r="H10199" s="4"/>
    </row>
    <row r="10200" spans="5:8" x14ac:dyDescent="0.25">
      <c r="E10200" s="34"/>
      <c r="G10200" s="34"/>
      <c r="H10200" s="4"/>
    </row>
    <row r="10201" spans="5:8" x14ac:dyDescent="0.25">
      <c r="E10201" s="34"/>
      <c r="G10201" s="34"/>
      <c r="H10201" s="4"/>
    </row>
    <row r="10202" spans="5:8" x14ac:dyDescent="0.25">
      <c r="E10202" s="34"/>
      <c r="G10202" s="34"/>
      <c r="H10202" s="4"/>
    </row>
    <row r="10203" spans="5:8" x14ac:dyDescent="0.25">
      <c r="E10203" s="34"/>
      <c r="G10203" s="34"/>
      <c r="H10203" s="4"/>
    </row>
    <row r="10204" spans="5:8" x14ac:dyDescent="0.25">
      <c r="E10204" s="34"/>
      <c r="G10204" s="34"/>
      <c r="H10204" s="4"/>
    </row>
    <row r="10205" spans="5:8" x14ac:dyDescent="0.25">
      <c r="E10205" s="34"/>
      <c r="G10205" s="34"/>
      <c r="H10205" s="4"/>
    </row>
    <row r="10206" spans="5:8" x14ac:dyDescent="0.25">
      <c r="E10206" s="34"/>
      <c r="G10206" s="34"/>
      <c r="H10206" s="4"/>
    </row>
    <row r="10207" spans="5:8" x14ac:dyDescent="0.25">
      <c r="E10207" s="34"/>
      <c r="G10207" s="34"/>
      <c r="H10207" s="4"/>
    </row>
    <row r="10208" spans="5:8" x14ac:dyDescent="0.25">
      <c r="E10208" s="34"/>
      <c r="G10208" s="34"/>
      <c r="H10208" s="4"/>
    </row>
    <row r="10209" spans="5:8" x14ac:dyDescent="0.25">
      <c r="E10209" s="34"/>
      <c r="G10209" s="34"/>
      <c r="H10209" s="4"/>
    </row>
    <row r="10210" spans="5:8" x14ac:dyDescent="0.25">
      <c r="E10210" s="34"/>
      <c r="G10210" s="34"/>
      <c r="H10210" s="4"/>
    </row>
    <row r="10211" spans="5:8" x14ac:dyDescent="0.25">
      <c r="E10211" s="34"/>
      <c r="G10211" s="34"/>
      <c r="H10211" s="4"/>
    </row>
    <row r="10212" spans="5:8" x14ac:dyDescent="0.25">
      <c r="E10212" s="34"/>
      <c r="G10212" s="34"/>
      <c r="H10212" s="4"/>
    </row>
    <row r="10213" spans="5:8" x14ac:dyDescent="0.25">
      <c r="E10213" s="34"/>
      <c r="G10213" s="34"/>
      <c r="H10213" s="4"/>
    </row>
    <row r="10214" spans="5:8" x14ac:dyDescent="0.25">
      <c r="E10214" s="34"/>
      <c r="G10214" s="34"/>
      <c r="H10214" s="4"/>
    </row>
    <row r="10215" spans="5:8" x14ac:dyDescent="0.25">
      <c r="E10215" s="34"/>
      <c r="G10215" s="34"/>
      <c r="H10215" s="4"/>
    </row>
    <row r="10216" spans="5:8" x14ac:dyDescent="0.25">
      <c r="E10216" s="34"/>
      <c r="G10216" s="34"/>
      <c r="H10216" s="4"/>
    </row>
    <row r="10217" spans="5:8" x14ac:dyDescent="0.25">
      <c r="E10217" s="34"/>
      <c r="G10217" s="34"/>
      <c r="H10217" s="4"/>
    </row>
    <row r="10218" spans="5:8" x14ac:dyDescent="0.25">
      <c r="E10218" s="34"/>
      <c r="G10218" s="34"/>
      <c r="H10218" s="4"/>
    </row>
    <row r="10219" spans="5:8" x14ac:dyDescent="0.25">
      <c r="E10219" s="34"/>
      <c r="G10219" s="34"/>
      <c r="H10219" s="4"/>
    </row>
    <row r="10220" spans="5:8" x14ac:dyDescent="0.25">
      <c r="E10220" s="34"/>
      <c r="G10220" s="34"/>
      <c r="H10220" s="4"/>
    </row>
    <row r="10221" spans="5:8" x14ac:dyDescent="0.25">
      <c r="E10221" s="34"/>
      <c r="G10221" s="34"/>
      <c r="H10221" s="4"/>
    </row>
    <row r="10222" spans="5:8" x14ac:dyDescent="0.25">
      <c r="E10222" s="34"/>
      <c r="G10222" s="34"/>
      <c r="H10222" s="4"/>
    </row>
    <row r="10223" spans="5:8" x14ac:dyDescent="0.25">
      <c r="E10223" s="34"/>
      <c r="G10223" s="34"/>
      <c r="H10223" s="4"/>
    </row>
    <row r="10224" spans="5:8" x14ac:dyDescent="0.25">
      <c r="E10224" s="34"/>
      <c r="G10224" s="34"/>
      <c r="H10224" s="4"/>
    </row>
    <row r="10225" spans="5:8" x14ac:dyDescent="0.25">
      <c r="E10225" s="34"/>
      <c r="G10225" s="34"/>
      <c r="H10225" s="4"/>
    </row>
    <row r="10226" spans="5:8" x14ac:dyDescent="0.25">
      <c r="E10226" s="34"/>
      <c r="G10226" s="34"/>
      <c r="H10226" s="4"/>
    </row>
    <row r="10227" spans="5:8" x14ac:dyDescent="0.25">
      <c r="E10227" s="34"/>
      <c r="G10227" s="34"/>
      <c r="H10227" s="4"/>
    </row>
    <row r="10228" spans="5:8" x14ac:dyDescent="0.25">
      <c r="E10228" s="34"/>
      <c r="G10228" s="34"/>
      <c r="H10228" s="4"/>
    </row>
    <row r="10229" spans="5:8" x14ac:dyDescent="0.25">
      <c r="E10229" s="34"/>
      <c r="G10229" s="34"/>
      <c r="H10229" s="4"/>
    </row>
    <row r="10230" spans="5:8" x14ac:dyDescent="0.25">
      <c r="E10230" s="34"/>
      <c r="G10230" s="34"/>
      <c r="H10230" s="4"/>
    </row>
    <row r="10231" spans="5:8" x14ac:dyDescent="0.25">
      <c r="E10231" s="34"/>
      <c r="G10231" s="34"/>
      <c r="H10231" s="4"/>
    </row>
    <row r="10232" spans="5:8" x14ac:dyDescent="0.25">
      <c r="E10232" s="34"/>
      <c r="G10232" s="34"/>
      <c r="H10232" s="4"/>
    </row>
    <row r="10233" spans="5:8" x14ac:dyDescent="0.25">
      <c r="E10233" s="34"/>
      <c r="G10233" s="34"/>
      <c r="H10233" s="4"/>
    </row>
    <row r="10234" spans="5:8" x14ac:dyDescent="0.25">
      <c r="E10234" s="34"/>
      <c r="G10234" s="34"/>
      <c r="H10234" s="4"/>
    </row>
    <row r="10235" spans="5:8" x14ac:dyDescent="0.25">
      <c r="E10235" s="34"/>
      <c r="G10235" s="34"/>
      <c r="H10235" s="4"/>
    </row>
    <row r="10236" spans="5:8" x14ac:dyDescent="0.25">
      <c r="E10236" s="34"/>
      <c r="G10236" s="34"/>
      <c r="H10236" s="4"/>
    </row>
    <row r="10237" spans="5:8" x14ac:dyDescent="0.25">
      <c r="E10237" s="34"/>
      <c r="G10237" s="34"/>
      <c r="H10237" s="4"/>
    </row>
    <row r="10238" spans="5:8" x14ac:dyDescent="0.25">
      <c r="E10238" s="34"/>
      <c r="G10238" s="34"/>
      <c r="H10238" s="4"/>
    </row>
    <row r="10239" spans="5:8" x14ac:dyDescent="0.25">
      <c r="E10239" s="34"/>
      <c r="G10239" s="34"/>
      <c r="H10239" s="4"/>
    </row>
    <row r="10240" spans="5:8" x14ac:dyDescent="0.25">
      <c r="E10240" s="34"/>
      <c r="G10240" s="34"/>
      <c r="H10240" s="4"/>
    </row>
    <row r="10241" spans="5:8" x14ac:dyDescent="0.25">
      <c r="E10241" s="34"/>
      <c r="G10241" s="34"/>
      <c r="H10241" s="4"/>
    </row>
    <row r="10242" spans="5:8" x14ac:dyDescent="0.25">
      <c r="E10242" s="34"/>
      <c r="G10242" s="34"/>
      <c r="H10242" s="4"/>
    </row>
    <row r="10243" spans="5:8" x14ac:dyDescent="0.25">
      <c r="E10243" s="34"/>
      <c r="G10243" s="34"/>
      <c r="H10243" s="4"/>
    </row>
    <row r="10244" spans="5:8" x14ac:dyDescent="0.25">
      <c r="E10244" s="34"/>
      <c r="G10244" s="34"/>
      <c r="H10244" s="4"/>
    </row>
    <row r="10245" spans="5:8" x14ac:dyDescent="0.25">
      <c r="E10245" s="34"/>
      <c r="G10245" s="34"/>
      <c r="H10245" s="4"/>
    </row>
    <row r="10246" spans="5:8" x14ac:dyDescent="0.25">
      <c r="E10246" s="34"/>
      <c r="G10246" s="34"/>
      <c r="H10246" s="4"/>
    </row>
    <row r="10247" spans="5:8" x14ac:dyDescent="0.25">
      <c r="E10247" s="34"/>
      <c r="G10247" s="34"/>
      <c r="H10247" s="4"/>
    </row>
    <row r="10248" spans="5:8" x14ac:dyDescent="0.25">
      <c r="E10248" s="34"/>
      <c r="G10248" s="34"/>
      <c r="H10248" s="4"/>
    </row>
    <row r="10249" spans="5:8" x14ac:dyDescent="0.25">
      <c r="E10249" s="34"/>
      <c r="G10249" s="34"/>
      <c r="H10249" s="4"/>
    </row>
    <row r="10250" spans="5:8" x14ac:dyDescent="0.25">
      <c r="E10250" s="34"/>
      <c r="G10250" s="34"/>
      <c r="H10250" s="4"/>
    </row>
    <row r="10251" spans="5:8" x14ac:dyDescent="0.25">
      <c r="E10251" s="34"/>
      <c r="G10251" s="34"/>
      <c r="H10251" s="4"/>
    </row>
    <row r="10252" spans="5:8" x14ac:dyDescent="0.25">
      <c r="E10252" s="34"/>
      <c r="G10252" s="34"/>
      <c r="H10252" s="4"/>
    </row>
    <row r="10253" spans="5:8" x14ac:dyDescent="0.25">
      <c r="E10253" s="34"/>
      <c r="G10253" s="34"/>
      <c r="H10253" s="4"/>
    </row>
    <row r="10254" spans="5:8" x14ac:dyDescent="0.25">
      <c r="E10254" s="34"/>
      <c r="G10254" s="34"/>
      <c r="H10254" s="4"/>
    </row>
    <row r="10255" spans="5:8" x14ac:dyDescent="0.25">
      <c r="E10255" s="34"/>
      <c r="G10255" s="34"/>
      <c r="H10255" s="4"/>
    </row>
    <row r="10256" spans="5:8" x14ac:dyDescent="0.25">
      <c r="E10256" s="34"/>
      <c r="G10256" s="34"/>
      <c r="H10256" s="4"/>
    </row>
    <row r="10257" spans="5:8" x14ac:dyDescent="0.25">
      <c r="E10257" s="34"/>
      <c r="G10257" s="34"/>
      <c r="H10257" s="4"/>
    </row>
    <row r="10258" spans="5:8" x14ac:dyDescent="0.25">
      <c r="E10258" s="34"/>
      <c r="G10258" s="34"/>
      <c r="H10258" s="4"/>
    </row>
    <row r="10259" spans="5:8" x14ac:dyDescent="0.25">
      <c r="E10259" s="34"/>
      <c r="G10259" s="34"/>
      <c r="H10259" s="4"/>
    </row>
    <row r="10260" spans="5:8" x14ac:dyDescent="0.25">
      <c r="E10260" s="34"/>
      <c r="G10260" s="34"/>
      <c r="H10260" s="4"/>
    </row>
    <row r="10261" spans="5:8" x14ac:dyDescent="0.25">
      <c r="E10261" s="34"/>
      <c r="G10261" s="34"/>
      <c r="H10261" s="4"/>
    </row>
    <row r="10262" spans="5:8" x14ac:dyDescent="0.25">
      <c r="E10262" s="34"/>
      <c r="G10262" s="34"/>
      <c r="H10262" s="4"/>
    </row>
    <row r="10263" spans="5:8" x14ac:dyDescent="0.25">
      <c r="E10263" s="34"/>
      <c r="G10263" s="34"/>
      <c r="H10263" s="4"/>
    </row>
    <row r="10264" spans="5:8" x14ac:dyDescent="0.25">
      <c r="E10264" s="34"/>
      <c r="G10264" s="34"/>
      <c r="H10264" s="4"/>
    </row>
    <row r="10265" spans="5:8" x14ac:dyDescent="0.25">
      <c r="E10265" s="34"/>
      <c r="G10265" s="34"/>
      <c r="H10265" s="4"/>
    </row>
    <row r="10266" spans="5:8" x14ac:dyDescent="0.25">
      <c r="E10266" s="34"/>
      <c r="G10266" s="34"/>
      <c r="H10266" s="4"/>
    </row>
    <row r="10267" spans="5:8" x14ac:dyDescent="0.25">
      <c r="E10267" s="34"/>
      <c r="G10267" s="34"/>
      <c r="H10267" s="4"/>
    </row>
    <row r="10268" spans="5:8" x14ac:dyDescent="0.25">
      <c r="E10268" s="34"/>
      <c r="G10268" s="34"/>
      <c r="H10268" s="4"/>
    </row>
    <row r="10269" spans="5:8" x14ac:dyDescent="0.25">
      <c r="E10269" s="34"/>
      <c r="G10269" s="34"/>
      <c r="H10269" s="4"/>
    </row>
    <row r="10270" spans="5:8" x14ac:dyDescent="0.25">
      <c r="E10270" s="34"/>
      <c r="G10270" s="34"/>
      <c r="H10270" s="4"/>
    </row>
    <row r="10271" spans="5:8" x14ac:dyDescent="0.25">
      <c r="E10271" s="34"/>
      <c r="G10271" s="34"/>
      <c r="H10271" s="4"/>
    </row>
    <row r="10272" spans="5:8" x14ac:dyDescent="0.25">
      <c r="E10272" s="34"/>
      <c r="G10272" s="34"/>
      <c r="H10272" s="4"/>
    </row>
    <row r="10273" spans="5:8" x14ac:dyDescent="0.25">
      <c r="E10273" s="34"/>
      <c r="G10273" s="34"/>
      <c r="H10273" s="4"/>
    </row>
    <row r="10274" spans="5:8" x14ac:dyDescent="0.25">
      <c r="E10274" s="34"/>
      <c r="G10274" s="34"/>
      <c r="H10274" s="4"/>
    </row>
    <row r="10275" spans="5:8" x14ac:dyDescent="0.25">
      <c r="E10275" s="34"/>
      <c r="G10275" s="34"/>
      <c r="H10275" s="4"/>
    </row>
    <row r="10276" spans="5:8" x14ac:dyDescent="0.25">
      <c r="E10276" s="34"/>
      <c r="G10276" s="34"/>
      <c r="H10276" s="4"/>
    </row>
    <row r="10277" spans="5:8" x14ac:dyDescent="0.25">
      <c r="E10277" s="34"/>
      <c r="G10277" s="34"/>
      <c r="H10277" s="4"/>
    </row>
    <row r="10278" spans="5:8" x14ac:dyDescent="0.25">
      <c r="E10278" s="34"/>
      <c r="G10278" s="34"/>
      <c r="H10278" s="4"/>
    </row>
    <row r="10279" spans="5:8" x14ac:dyDescent="0.25">
      <c r="E10279" s="34"/>
      <c r="G10279" s="34"/>
      <c r="H10279" s="4"/>
    </row>
    <row r="10280" spans="5:8" x14ac:dyDescent="0.25">
      <c r="E10280" s="34"/>
      <c r="G10280" s="34"/>
      <c r="H10280" s="4"/>
    </row>
    <row r="10281" spans="5:8" x14ac:dyDescent="0.25">
      <c r="E10281" s="34"/>
      <c r="G10281" s="34"/>
      <c r="H10281" s="4"/>
    </row>
    <row r="10282" spans="5:8" x14ac:dyDescent="0.25">
      <c r="E10282" s="34"/>
      <c r="G10282" s="34"/>
      <c r="H10282" s="4"/>
    </row>
    <row r="10283" spans="5:8" x14ac:dyDescent="0.25">
      <c r="E10283" s="34"/>
      <c r="G10283" s="34"/>
      <c r="H10283" s="4"/>
    </row>
    <row r="10284" spans="5:8" x14ac:dyDescent="0.25">
      <c r="E10284" s="34"/>
      <c r="G10284" s="34"/>
      <c r="H10284" s="4"/>
    </row>
    <row r="10285" spans="5:8" x14ac:dyDescent="0.25">
      <c r="E10285" s="34"/>
      <c r="G10285" s="34"/>
      <c r="H10285" s="4"/>
    </row>
    <row r="10286" spans="5:8" x14ac:dyDescent="0.25">
      <c r="E10286" s="34"/>
      <c r="G10286" s="34"/>
      <c r="H10286" s="4"/>
    </row>
    <row r="10287" spans="5:8" x14ac:dyDescent="0.25">
      <c r="E10287" s="34"/>
      <c r="G10287" s="34"/>
      <c r="H10287" s="4"/>
    </row>
    <row r="10288" spans="5:8" x14ac:dyDescent="0.25">
      <c r="E10288" s="34"/>
      <c r="G10288" s="34"/>
      <c r="H10288" s="4"/>
    </row>
    <row r="10289" spans="5:8" x14ac:dyDescent="0.25">
      <c r="E10289" s="34"/>
      <c r="G10289" s="34"/>
      <c r="H10289" s="4"/>
    </row>
    <row r="10290" spans="5:8" x14ac:dyDescent="0.25">
      <c r="E10290" s="34"/>
      <c r="G10290" s="34"/>
      <c r="H10290" s="4"/>
    </row>
    <row r="10291" spans="5:8" x14ac:dyDescent="0.25">
      <c r="E10291" s="34"/>
      <c r="G10291" s="34"/>
      <c r="H10291" s="4"/>
    </row>
    <row r="10292" spans="5:8" x14ac:dyDescent="0.25">
      <c r="E10292" s="34"/>
      <c r="G10292" s="34"/>
      <c r="H10292" s="4"/>
    </row>
    <row r="10293" spans="5:8" x14ac:dyDescent="0.25">
      <c r="E10293" s="34"/>
      <c r="G10293" s="34"/>
      <c r="H10293" s="4"/>
    </row>
    <row r="10294" spans="5:8" x14ac:dyDescent="0.25">
      <c r="E10294" s="34"/>
      <c r="G10294" s="34"/>
      <c r="H10294" s="4"/>
    </row>
    <row r="10295" spans="5:8" x14ac:dyDescent="0.25">
      <c r="E10295" s="34"/>
      <c r="G10295" s="34"/>
      <c r="H10295" s="4"/>
    </row>
    <row r="10296" spans="5:8" x14ac:dyDescent="0.25">
      <c r="E10296" s="34"/>
      <c r="G10296" s="34"/>
      <c r="H10296" s="4"/>
    </row>
    <row r="10297" spans="5:8" x14ac:dyDescent="0.25">
      <c r="E10297" s="34"/>
      <c r="G10297" s="34"/>
      <c r="H10297" s="4"/>
    </row>
    <row r="10298" spans="5:8" x14ac:dyDescent="0.25">
      <c r="E10298" s="34"/>
      <c r="G10298" s="34"/>
      <c r="H10298" s="4"/>
    </row>
    <row r="10299" spans="5:8" x14ac:dyDescent="0.25">
      <c r="E10299" s="34"/>
      <c r="G10299" s="34"/>
      <c r="H10299" s="4"/>
    </row>
    <row r="10300" spans="5:8" x14ac:dyDescent="0.25">
      <c r="E10300" s="34"/>
      <c r="G10300" s="34"/>
      <c r="H10300" s="4"/>
    </row>
    <row r="10301" spans="5:8" x14ac:dyDescent="0.25">
      <c r="E10301" s="34"/>
      <c r="G10301" s="34"/>
      <c r="H10301" s="4"/>
    </row>
    <row r="10302" spans="5:8" x14ac:dyDescent="0.25">
      <c r="E10302" s="34"/>
      <c r="G10302" s="34"/>
      <c r="H10302" s="4"/>
    </row>
    <row r="10303" spans="5:8" x14ac:dyDescent="0.25">
      <c r="E10303" s="34"/>
      <c r="G10303" s="34"/>
      <c r="H10303" s="4"/>
    </row>
    <row r="10304" spans="5:8" x14ac:dyDescent="0.25">
      <c r="E10304" s="34"/>
      <c r="G10304" s="34"/>
      <c r="H10304" s="4"/>
    </row>
    <row r="10305" spans="5:8" x14ac:dyDescent="0.25">
      <c r="E10305" s="34"/>
      <c r="G10305" s="34"/>
      <c r="H10305" s="4"/>
    </row>
    <row r="10306" spans="5:8" x14ac:dyDescent="0.25">
      <c r="E10306" s="34"/>
      <c r="G10306" s="34"/>
      <c r="H10306" s="4"/>
    </row>
    <row r="10307" spans="5:8" x14ac:dyDescent="0.25">
      <c r="E10307" s="34"/>
      <c r="G10307" s="34"/>
      <c r="H10307" s="4"/>
    </row>
    <row r="10308" spans="5:8" x14ac:dyDescent="0.25">
      <c r="E10308" s="34"/>
      <c r="G10308" s="34"/>
      <c r="H10308" s="4"/>
    </row>
    <row r="10309" spans="5:8" x14ac:dyDescent="0.25">
      <c r="E10309" s="34"/>
      <c r="G10309" s="34"/>
      <c r="H10309" s="4"/>
    </row>
    <row r="10310" spans="5:8" x14ac:dyDescent="0.25">
      <c r="E10310" s="34"/>
      <c r="G10310" s="34"/>
      <c r="H10310" s="4"/>
    </row>
    <row r="10311" spans="5:8" x14ac:dyDescent="0.25">
      <c r="E10311" s="34"/>
      <c r="G10311" s="34"/>
      <c r="H10311" s="4"/>
    </row>
    <row r="10312" spans="5:8" x14ac:dyDescent="0.25">
      <c r="E10312" s="34"/>
      <c r="G10312" s="34"/>
      <c r="H10312" s="4"/>
    </row>
    <row r="10313" spans="5:8" x14ac:dyDescent="0.25">
      <c r="E10313" s="34"/>
      <c r="G10313" s="34"/>
      <c r="H10313" s="4"/>
    </row>
    <row r="10314" spans="5:8" x14ac:dyDescent="0.25">
      <c r="E10314" s="34"/>
      <c r="G10314" s="34"/>
      <c r="H10314" s="4"/>
    </row>
    <row r="10315" spans="5:8" x14ac:dyDescent="0.25">
      <c r="E10315" s="34"/>
      <c r="G10315" s="34"/>
      <c r="H10315" s="4"/>
    </row>
    <row r="10316" spans="5:8" x14ac:dyDescent="0.25">
      <c r="E10316" s="34"/>
      <c r="G10316" s="34"/>
      <c r="H10316" s="4"/>
    </row>
    <row r="10317" spans="5:8" x14ac:dyDescent="0.25">
      <c r="E10317" s="34"/>
      <c r="G10317" s="34"/>
      <c r="H10317" s="4"/>
    </row>
    <row r="10318" spans="5:8" x14ac:dyDescent="0.25">
      <c r="E10318" s="34"/>
      <c r="G10318" s="34"/>
      <c r="H10318" s="4"/>
    </row>
    <row r="10319" spans="5:8" x14ac:dyDescent="0.25">
      <c r="E10319" s="34"/>
      <c r="G10319" s="34"/>
      <c r="H10319" s="4"/>
    </row>
    <row r="10320" spans="5:8" x14ac:dyDescent="0.25">
      <c r="E10320" s="34"/>
      <c r="G10320" s="34"/>
      <c r="H10320" s="4"/>
    </row>
    <row r="10321" spans="5:8" x14ac:dyDescent="0.25">
      <c r="E10321" s="34"/>
      <c r="G10321" s="34"/>
      <c r="H10321" s="4"/>
    </row>
    <row r="10322" spans="5:8" x14ac:dyDescent="0.25">
      <c r="E10322" s="34"/>
      <c r="G10322" s="34"/>
      <c r="H10322" s="4"/>
    </row>
    <row r="10323" spans="5:8" x14ac:dyDescent="0.25">
      <c r="E10323" s="34"/>
      <c r="G10323" s="34"/>
      <c r="H10323" s="4"/>
    </row>
    <row r="10324" spans="5:8" x14ac:dyDescent="0.25">
      <c r="E10324" s="34"/>
      <c r="G10324" s="34"/>
      <c r="H10324" s="4"/>
    </row>
    <row r="10325" spans="5:8" x14ac:dyDescent="0.25">
      <c r="E10325" s="34"/>
      <c r="G10325" s="34"/>
      <c r="H10325" s="4"/>
    </row>
    <row r="10326" spans="5:8" x14ac:dyDescent="0.25">
      <c r="E10326" s="34"/>
      <c r="G10326" s="34"/>
      <c r="H10326" s="4"/>
    </row>
    <row r="10327" spans="5:8" x14ac:dyDescent="0.25">
      <c r="E10327" s="34"/>
      <c r="G10327" s="34"/>
      <c r="H10327" s="4"/>
    </row>
    <row r="10328" spans="5:8" x14ac:dyDescent="0.25">
      <c r="E10328" s="34"/>
      <c r="G10328" s="34"/>
      <c r="H10328" s="4"/>
    </row>
    <row r="10329" spans="5:8" x14ac:dyDescent="0.25">
      <c r="E10329" s="34"/>
      <c r="G10329" s="34"/>
      <c r="H10329" s="4"/>
    </row>
    <row r="10330" spans="5:8" x14ac:dyDescent="0.25">
      <c r="E10330" s="34"/>
      <c r="G10330" s="34"/>
      <c r="H10330" s="4"/>
    </row>
    <row r="10331" spans="5:8" x14ac:dyDescent="0.25">
      <c r="E10331" s="34"/>
      <c r="G10331" s="34"/>
      <c r="H10331" s="4"/>
    </row>
    <row r="10332" spans="5:8" x14ac:dyDescent="0.25">
      <c r="E10332" s="34"/>
      <c r="G10332" s="34"/>
      <c r="H10332" s="4"/>
    </row>
    <row r="10333" spans="5:8" x14ac:dyDescent="0.25">
      <c r="E10333" s="34"/>
      <c r="G10333" s="34"/>
      <c r="H10333" s="4"/>
    </row>
    <row r="10334" spans="5:8" x14ac:dyDescent="0.25">
      <c r="E10334" s="34"/>
      <c r="G10334" s="34"/>
      <c r="H10334" s="4"/>
    </row>
    <row r="10335" spans="5:8" x14ac:dyDescent="0.25">
      <c r="E10335" s="34"/>
      <c r="G10335" s="34"/>
      <c r="H10335" s="4"/>
    </row>
    <row r="10336" spans="5:8" x14ac:dyDescent="0.25">
      <c r="E10336" s="34"/>
      <c r="G10336" s="34"/>
      <c r="H10336" s="4"/>
    </row>
    <row r="10337" spans="5:8" x14ac:dyDescent="0.25">
      <c r="E10337" s="34"/>
      <c r="G10337" s="34"/>
      <c r="H10337" s="4"/>
    </row>
    <row r="10338" spans="5:8" x14ac:dyDescent="0.25">
      <c r="E10338" s="34"/>
      <c r="G10338" s="34"/>
      <c r="H10338" s="4"/>
    </row>
    <row r="10339" spans="5:8" x14ac:dyDescent="0.25">
      <c r="E10339" s="34"/>
      <c r="G10339" s="34"/>
      <c r="H10339" s="4"/>
    </row>
    <row r="10340" spans="5:8" x14ac:dyDescent="0.25">
      <c r="E10340" s="34"/>
      <c r="G10340" s="34"/>
      <c r="H10340" s="4"/>
    </row>
    <row r="10341" spans="5:8" x14ac:dyDescent="0.25">
      <c r="E10341" s="34"/>
      <c r="G10341" s="34"/>
      <c r="H10341" s="4"/>
    </row>
    <row r="10342" spans="5:8" x14ac:dyDescent="0.25">
      <c r="E10342" s="34"/>
      <c r="G10342" s="34"/>
      <c r="H10342" s="4"/>
    </row>
    <row r="10343" spans="5:8" x14ac:dyDescent="0.25">
      <c r="E10343" s="34"/>
      <c r="G10343" s="34"/>
      <c r="H10343" s="4"/>
    </row>
    <row r="10344" spans="5:8" x14ac:dyDescent="0.25">
      <c r="E10344" s="34"/>
      <c r="G10344" s="34"/>
      <c r="H10344" s="4"/>
    </row>
    <row r="10345" spans="5:8" x14ac:dyDescent="0.25">
      <c r="E10345" s="34"/>
      <c r="G10345" s="34"/>
      <c r="H10345" s="4"/>
    </row>
    <row r="10346" spans="5:8" x14ac:dyDescent="0.25">
      <c r="E10346" s="34"/>
      <c r="G10346" s="34"/>
      <c r="H10346" s="4"/>
    </row>
    <row r="10347" spans="5:8" x14ac:dyDescent="0.25">
      <c r="E10347" s="34"/>
      <c r="G10347" s="34"/>
      <c r="H10347" s="4"/>
    </row>
    <row r="10348" spans="5:8" x14ac:dyDescent="0.25">
      <c r="E10348" s="34"/>
      <c r="G10348" s="34"/>
      <c r="H10348" s="4"/>
    </row>
    <row r="10349" spans="5:8" x14ac:dyDescent="0.25">
      <c r="E10349" s="34"/>
      <c r="G10349" s="34"/>
      <c r="H10349" s="4"/>
    </row>
    <row r="10350" spans="5:8" x14ac:dyDescent="0.25">
      <c r="E10350" s="34"/>
      <c r="G10350" s="34"/>
      <c r="H10350" s="4"/>
    </row>
    <row r="10351" spans="5:8" x14ac:dyDescent="0.25">
      <c r="E10351" s="34"/>
      <c r="G10351" s="34"/>
      <c r="H10351" s="4"/>
    </row>
    <row r="10352" spans="5:8" x14ac:dyDescent="0.25">
      <c r="E10352" s="34"/>
      <c r="G10352" s="34"/>
      <c r="H10352" s="4"/>
    </row>
    <row r="10353" spans="5:8" x14ac:dyDescent="0.25">
      <c r="E10353" s="34"/>
      <c r="G10353" s="34"/>
      <c r="H10353" s="4"/>
    </row>
    <row r="10354" spans="5:8" x14ac:dyDescent="0.25">
      <c r="E10354" s="34"/>
      <c r="G10354" s="34"/>
      <c r="H10354" s="4"/>
    </row>
    <row r="10355" spans="5:8" x14ac:dyDescent="0.25">
      <c r="E10355" s="34"/>
      <c r="G10355" s="34"/>
      <c r="H10355" s="4"/>
    </row>
    <row r="10356" spans="5:8" x14ac:dyDescent="0.25">
      <c r="E10356" s="34"/>
      <c r="G10356" s="34"/>
      <c r="H10356" s="4"/>
    </row>
    <row r="10357" spans="5:8" x14ac:dyDescent="0.25">
      <c r="E10357" s="34"/>
      <c r="G10357" s="34"/>
      <c r="H10357" s="4"/>
    </row>
    <row r="10358" spans="5:8" x14ac:dyDescent="0.25">
      <c r="E10358" s="34"/>
      <c r="G10358" s="34"/>
      <c r="H10358" s="4"/>
    </row>
    <row r="10359" spans="5:8" x14ac:dyDescent="0.25">
      <c r="E10359" s="34"/>
      <c r="G10359" s="34"/>
      <c r="H10359" s="4"/>
    </row>
    <row r="10360" spans="5:8" x14ac:dyDescent="0.25">
      <c r="E10360" s="34"/>
      <c r="G10360" s="34"/>
      <c r="H10360" s="4"/>
    </row>
    <row r="10361" spans="5:8" x14ac:dyDescent="0.25">
      <c r="E10361" s="34"/>
      <c r="G10361" s="34"/>
      <c r="H10361" s="4"/>
    </row>
    <row r="10362" spans="5:8" x14ac:dyDescent="0.25">
      <c r="E10362" s="34"/>
      <c r="G10362" s="34"/>
      <c r="H10362" s="4"/>
    </row>
    <row r="10363" spans="5:8" x14ac:dyDescent="0.25">
      <c r="E10363" s="34"/>
      <c r="G10363" s="34"/>
      <c r="H10363" s="4"/>
    </row>
    <row r="10364" spans="5:8" x14ac:dyDescent="0.25">
      <c r="E10364" s="34"/>
      <c r="G10364" s="34"/>
      <c r="H10364" s="4"/>
    </row>
    <row r="10365" spans="5:8" x14ac:dyDescent="0.25">
      <c r="E10365" s="34"/>
      <c r="G10365" s="34"/>
      <c r="H10365" s="4"/>
    </row>
    <row r="10366" spans="5:8" x14ac:dyDescent="0.25">
      <c r="E10366" s="34"/>
      <c r="G10366" s="34"/>
      <c r="H10366" s="4"/>
    </row>
    <row r="10367" spans="5:8" x14ac:dyDescent="0.25">
      <c r="E10367" s="34"/>
      <c r="G10367" s="34"/>
      <c r="H10367" s="4"/>
    </row>
    <row r="10368" spans="5:8" x14ac:dyDescent="0.25">
      <c r="E10368" s="34"/>
      <c r="G10368" s="34"/>
      <c r="H10368" s="4"/>
    </row>
    <row r="10369" spans="5:8" x14ac:dyDescent="0.25">
      <c r="E10369" s="34"/>
      <c r="G10369" s="34"/>
      <c r="H10369" s="4"/>
    </row>
    <row r="10370" spans="5:8" x14ac:dyDescent="0.25">
      <c r="E10370" s="34"/>
      <c r="G10370" s="34"/>
      <c r="H10370" s="4"/>
    </row>
    <row r="10371" spans="5:8" x14ac:dyDescent="0.25">
      <c r="E10371" s="34"/>
      <c r="G10371" s="34"/>
      <c r="H10371" s="4"/>
    </row>
    <row r="10372" spans="5:8" x14ac:dyDescent="0.25">
      <c r="E10372" s="34"/>
      <c r="G10372" s="34"/>
      <c r="H10372" s="4"/>
    </row>
    <row r="10373" spans="5:8" x14ac:dyDescent="0.25">
      <c r="E10373" s="34"/>
      <c r="G10373" s="34"/>
      <c r="H10373" s="4"/>
    </row>
    <row r="10374" spans="5:8" x14ac:dyDescent="0.25">
      <c r="E10374" s="34"/>
      <c r="G10374" s="34"/>
      <c r="H10374" s="4"/>
    </row>
    <row r="10375" spans="5:8" x14ac:dyDescent="0.25">
      <c r="E10375" s="34"/>
      <c r="G10375" s="34"/>
      <c r="H10375" s="4"/>
    </row>
    <row r="10376" spans="5:8" x14ac:dyDescent="0.25">
      <c r="E10376" s="34"/>
      <c r="G10376" s="34"/>
      <c r="H10376" s="4"/>
    </row>
    <row r="10377" spans="5:8" x14ac:dyDescent="0.25">
      <c r="E10377" s="34"/>
      <c r="G10377" s="34"/>
      <c r="H10377" s="4"/>
    </row>
    <row r="10378" spans="5:8" x14ac:dyDescent="0.25">
      <c r="E10378" s="34"/>
      <c r="G10378" s="34"/>
      <c r="H10378" s="4"/>
    </row>
    <row r="10379" spans="5:8" x14ac:dyDescent="0.25">
      <c r="E10379" s="34"/>
      <c r="G10379" s="34"/>
      <c r="H10379" s="4"/>
    </row>
    <row r="10380" spans="5:8" x14ac:dyDescent="0.25">
      <c r="E10380" s="34"/>
      <c r="G10380" s="34"/>
      <c r="H10380" s="4"/>
    </row>
    <row r="10381" spans="5:8" x14ac:dyDescent="0.25">
      <c r="E10381" s="34"/>
      <c r="G10381" s="34"/>
      <c r="H10381" s="4"/>
    </row>
    <row r="10382" spans="5:8" x14ac:dyDescent="0.25">
      <c r="E10382" s="34"/>
      <c r="G10382" s="34"/>
      <c r="H10382" s="4"/>
    </row>
    <row r="10383" spans="5:8" x14ac:dyDescent="0.25">
      <c r="E10383" s="34"/>
      <c r="G10383" s="34"/>
      <c r="H10383" s="4"/>
    </row>
    <row r="10384" spans="5:8" x14ac:dyDescent="0.25">
      <c r="E10384" s="34"/>
      <c r="G10384" s="34"/>
      <c r="H10384" s="4"/>
    </row>
    <row r="10385" spans="5:8" x14ac:dyDescent="0.25">
      <c r="E10385" s="34"/>
      <c r="G10385" s="34"/>
      <c r="H10385" s="4"/>
    </row>
    <row r="10386" spans="5:8" x14ac:dyDescent="0.25">
      <c r="E10386" s="34"/>
      <c r="G10386" s="34"/>
      <c r="H10386" s="4"/>
    </row>
    <row r="10387" spans="5:8" x14ac:dyDescent="0.25">
      <c r="E10387" s="34"/>
      <c r="G10387" s="34"/>
      <c r="H10387" s="4"/>
    </row>
    <row r="10388" spans="5:8" x14ac:dyDescent="0.25">
      <c r="E10388" s="34"/>
      <c r="G10388" s="34"/>
      <c r="H10388" s="4"/>
    </row>
    <row r="10389" spans="5:8" x14ac:dyDescent="0.25">
      <c r="E10389" s="34"/>
      <c r="G10389" s="34"/>
      <c r="H10389" s="4"/>
    </row>
    <row r="10390" spans="5:8" x14ac:dyDescent="0.25">
      <c r="E10390" s="34"/>
      <c r="G10390" s="34"/>
      <c r="H10390" s="4"/>
    </row>
    <row r="10391" spans="5:8" x14ac:dyDescent="0.25">
      <c r="E10391" s="34"/>
      <c r="G10391" s="34"/>
      <c r="H10391" s="4"/>
    </row>
    <row r="10392" spans="5:8" x14ac:dyDescent="0.25">
      <c r="E10392" s="34"/>
      <c r="G10392" s="34"/>
      <c r="H10392" s="4"/>
    </row>
    <row r="10393" spans="5:8" x14ac:dyDescent="0.25">
      <c r="E10393" s="34"/>
      <c r="G10393" s="34"/>
      <c r="H10393" s="4"/>
    </row>
    <row r="10394" spans="5:8" x14ac:dyDescent="0.25">
      <c r="E10394" s="34"/>
      <c r="G10394" s="34"/>
      <c r="H10394" s="4"/>
    </row>
    <row r="10395" spans="5:8" x14ac:dyDescent="0.25">
      <c r="E10395" s="34"/>
      <c r="G10395" s="34"/>
      <c r="H10395" s="4"/>
    </row>
    <row r="10396" spans="5:8" x14ac:dyDescent="0.25">
      <c r="E10396" s="34"/>
      <c r="G10396" s="34"/>
      <c r="H10396" s="4"/>
    </row>
    <row r="10397" spans="5:8" x14ac:dyDescent="0.25">
      <c r="E10397" s="34"/>
      <c r="G10397" s="34"/>
      <c r="H10397" s="4"/>
    </row>
    <row r="10398" spans="5:8" x14ac:dyDescent="0.25">
      <c r="E10398" s="34"/>
      <c r="G10398" s="34"/>
      <c r="H10398" s="4"/>
    </row>
    <row r="10399" spans="5:8" x14ac:dyDescent="0.25">
      <c r="E10399" s="34"/>
      <c r="G10399" s="34"/>
      <c r="H10399" s="4"/>
    </row>
    <row r="10400" spans="5:8" x14ac:dyDescent="0.25">
      <c r="E10400" s="34"/>
      <c r="G10400" s="34"/>
      <c r="H10400" s="4"/>
    </row>
    <row r="10401" spans="5:8" x14ac:dyDescent="0.25">
      <c r="E10401" s="34"/>
      <c r="G10401" s="34"/>
      <c r="H10401" s="4"/>
    </row>
    <row r="10402" spans="5:8" x14ac:dyDescent="0.25">
      <c r="E10402" s="34"/>
      <c r="G10402" s="34"/>
      <c r="H10402" s="4"/>
    </row>
    <row r="10403" spans="5:8" x14ac:dyDescent="0.25">
      <c r="E10403" s="34"/>
      <c r="G10403" s="34"/>
      <c r="H10403" s="4"/>
    </row>
    <row r="10404" spans="5:8" x14ac:dyDescent="0.25">
      <c r="E10404" s="34"/>
      <c r="G10404" s="34"/>
      <c r="H10404" s="4"/>
    </row>
    <row r="10405" spans="5:8" x14ac:dyDescent="0.25">
      <c r="E10405" s="34"/>
      <c r="G10405" s="34"/>
      <c r="H10405" s="4"/>
    </row>
    <row r="10406" spans="5:8" x14ac:dyDescent="0.25">
      <c r="E10406" s="34"/>
      <c r="G10406" s="34"/>
      <c r="H10406" s="4"/>
    </row>
    <row r="10407" spans="5:8" x14ac:dyDescent="0.25">
      <c r="E10407" s="34"/>
      <c r="G10407" s="34"/>
      <c r="H10407" s="4"/>
    </row>
    <row r="10408" spans="5:8" x14ac:dyDescent="0.25">
      <c r="E10408" s="34"/>
      <c r="G10408" s="34"/>
      <c r="H10408" s="4"/>
    </row>
    <row r="10409" spans="5:8" x14ac:dyDescent="0.25">
      <c r="E10409" s="34"/>
      <c r="G10409" s="34"/>
      <c r="H10409" s="4"/>
    </row>
    <row r="10410" spans="5:8" x14ac:dyDescent="0.25">
      <c r="E10410" s="34"/>
      <c r="G10410" s="34"/>
      <c r="H10410" s="4"/>
    </row>
    <row r="10411" spans="5:8" x14ac:dyDescent="0.25">
      <c r="E10411" s="34"/>
      <c r="G10411" s="34"/>
      <c r="H10411" s="4"/>
    </row>
    <row r="10412" spans="5:8" x14ac:dyDescent="0.25">
      <c r="E10412" s="34"/>
      <c r="G10412" s="34"/>
      <c r="H10412" s="4"/>
    </row>
    <row r="10413" spans="5:8" x14ac:dyDescent="0.25">
      <c r="E10413" s="34"/>
      <c r="G10413" s="34"/>
      <c r="H10413" s="4"/>
    </row>
    <row r="10414" spans="5:8" x14ac:dyDescent="0.25">
      <c r="E10414" s="34"/>
      <c r="G10414" s="34"/>
      <c r="H10414" s="4"/>
    </row>
    <row r="10415" spans="5:8" x14ac:dyDescent="0.25">
      <c r="E10415" s="34"/>
      <c r="G10415" s="34"/>
      <c r="H10415" s="4"/>
    </row>
    <row r="10416" spans="5:8" x14ac:dyDescent="0.25">
      <c r="E10416" s="34"/>
      <c r="G10416" s="34"/>
      <c r="H10416" s="4"/>
    </row>
    <row r="10417" spans="5:8" x14ac:dyDescent="0.25">
      <c r="E10417" s="34"/>
      <c r="G10417" s="34"/>
      <c r="H10417" s="4"/>
    </row>
    <row r="10418" spans="5:8" x14ac:dyDescent="0.25">
      <c r="E10418" s="34"/>
      <c r="G10418" s="34"/>
      <c r="H10418" s="4"/>
    </row>
    <row r="10419" spans="5:8" x14ac:dyDescent="0.25">
      <c r="E10419" s="34"/>
      <c r="G10419" s="34"/>
      <c r="H10419" s="4"/>
    </row>
    <row r="10420" spans="5:8" x14ac:dyDescent="0.25">
      <c r="E10420" s="34"/>
      <c r="G10420" s="34"/>
      <c r="H10420" s="4"/>
    </row>
    <row r="10421" spans="5:8" x14ac:dyDescent="0.25">
      <c r="E10421" s="34"/>
      <c r="G10421" s="34"/>
      <c r="H10421" s="4"/>
    </row>
    <row r="10422" spans="5:8" x14ac:dyDescent="0.25">
      <c r="E10422" s="34"/>
      <c r="G10422" s="34"/>
      <c r="H10422" s="4"/>
    </row>
    <row r="10423" spans="5:8" x14ac:dyDescent="0.25">
      <c r="E10423" s="34"/>
      <c r="G10423" s="34"/>
      <c r="H10423" s="4"/>
    </row>
    <row r="10424" spans="5:8" x14ac:dyDescent="0.25">
      <c r="E10424" s="34"/>
      <c r="G10424" s="34"/>
      <c r="H10424" s="4"/>
    </row>
    <row r="10425" spans="5:8" x14ac:dyDescent="0.25">
      <c r="E10425" s="34"/>
      <c r="G10425" s="34"/>
      <c r="H10425" s="4"/>
    </row>
    <row r="10426" spans="5:8" x14ac:dyDescent="0.25">
      <c r="E10426" s="34"/>
      <c r="G10426" s="34"/>
      <c r="H10426" s="4"/>
    </row>
    <row r="10427" spans="5:8" x14ac:dyDescent="0.25">
      <c r="E10427" s="34"/>
      <c r="G10427" s="34"/>
      <c r="H10427" s="4"/>
    </row>
    <row r="10428" spans="5:8" x14ac:dyDescent="0.25">
      <c r="E10428" s="34"/>
      <c r="G10428" s="34"/>
      <c r="H10428" s="4"/>
    </row>
    <row r="10429" spans="5:8" x14ac:dyDescent="0.25">
      <c r="E10429" s="34"/>
      <c r="G10429" s="34"/>
      <c r="H10429" s="4"/>
    </row>
    <row r="10430" spans="5:8" x14ac:dyDescent="0.25">
      <c r="E10430" s="34"/>
      <c r="G10430" s="34"/>
      <c r="H10430" s="4"/>
    </row>
    <row r="10431" spans="5:8" x14ac:dyDescent="0.25">
      <c r="E10431" s="34"/>
      <c r="G10431" s="34"/>
      <c r="H10431" s="4"/>
    </row>
    <row r="10432" spans="5:8" x14ac:dyDescent="0.25">
      <c r="E10432" s="34"/>
      <c r="G10432" s="34"/>
      <c r="H10432" s="4"/>
    </row>
    <row r="10433" spans="5:8" x14ac:dyDescent="0.25">
      <c r="E10433" s="34"/>
      <c r="G10433" s="34"/>
      <c r="H10433" s="4"/>
    </row>
    <row r="10434" spans="5:8" x14ac:dyDescent="0.25">
      <c r="E10434" s="34"/>
      <c r="G10434" s="34"/>
      <c r="H10434" s="4"/>
    </row>
    <row r="10435" spans="5:8" x14ac:dyDescent="0.25">
      <c r="E10435" s="34"/>
      <c r="G10435" s="34"/>
      <c r="H10435" s="4"/>
    </row>
    <row r="10436" spans="5:8" x14ac:dyDescent="0.25">
      <c r="E10436" s="34"/>
      <c r="G10436" s="34"/>
      <c r="H10436" s="4"/>
    </row>
    <row r="10437" spans="5:8" x14ac:dyDescent="0.25">
      <c r="E10437" s="34"/>
      <c r="G10437" s="34"/>
      <c r="H10437" s="4"/>
    </row>
    <row r="10438" spans="5:8" x14ac:dyDescent="0.25">
      <c r="E10438" s="34"/>
      <c r="G10438" s="34"/>
      <c r="H10438" s="4"/>
    </row>
    <row r="10439" spans="5:8" x14ac:dyDescent="0.25">
      <c r="E10439" s="34"/>
      <c r="G10439" s="34"/>
      <c r="H10439" s="4"/>
    </row>
    <row r="10440" spans="5:8" x14ac:dyDescent="0.25">
      <c r="E10440" s="34"/>
      <c r="G10440" s="34"/>
      <c r="H10440" s="4"/>
    </row>
    <row r="10441" spans="5:8" x14ac:dyDescent="0.25">
      <c r="E10441" s="34"/>
      <c r="G10441" s="34"/>
      <c r="H10441" s="4"/>
    </row>
    <row r="10442" spans="5:8" x14ac:dyDescent="0.25">
      <c r="E10442" s="34"/>
      <c r="G10442" s="34"/>
      <c r="H10442" s="4"/>
    </row>
    <row r="10443" spans="5:8" x14ac:dyDescent="0.25">
      <c r="E10443" s="34"/>
      <c r="G10443" s="34"/>
      <c r="H10443" s="4"/>
    </row>
    <row r="10444" spans="5:8" x14ac:dyDescent="0.25">
      <c r="E10444" s="34"/>
      <c r="G10444" s="34"/>
      <c r="H10444" s="4"/>
    </row>
    <row r="10445" spans="5:8" x14ac:dyDescent="0.25">
      <c r="E10445" s="34"/>
      <c r="G10445" s="34"/>
      <c r="H10445" s="4"/>
    </row>
    <row r="10446" spans="5:8" x14ac:dyDescent="0.25">
      <c r="E10446" s="34"/>
      <c r="G10446" s="34"/>
      <c r="H10446" s="4"/>
    </row>
    <row r="10447" spans="5:8" x14ac:dyDescent="0.25">
      <c r="E10447" s="34"/>
      <c r="G10447" s="34"/>
      <c r="H10447" s="4"/>
    </row>
    <row r="10448" spans="5:8" x14ac:dyDescent="0.25">
      <c r="E10448" s="34"/>
      <c r="G10448" s="34"/>
      <c r="H10448" s="4"/>
    </row>
    <row r="10449" spans="5:8" x14ac:dyDescent="0.25">
      <c r="E10449" s="34"/>
      <c r="G10449" s="34"/>
      <c r="H10449" s="4"/>
    </row>
    <row r="10450" spans="5:8" x14ac:dyDescent="0.25">
      <c r="E10450" s="34"/>
      <c r="G10450" s="34"/>
      <c r="H10450" s="4"/>
    </row>
    <row r="10451" spans="5:8" x14ac:dyDescent="0.25">
      <c r="E10451" s="34"/>
      <c r="G10451" s="34"/>
      <c r="H10451" s="4"/>
    </row>
    <row r="10452" spans="5:8" x14ac:dyDescent="0.25">
      <c r="E10452" s="34"/>
      <c r="G10452" s="34"/>
      <c r="H10452" s="4"/>
    </row>
    <row r="10453" spans="5:8" x14ac:dyDescent="0.25">
      <c r="E10453" s="34"/>
      <c r="G10453" s="34"/>
      <c r="H10453" s="4"/>
    </row>
    <row r="10454" spans="5:8" x14ac:dyDescent="0.25">
      <c r="E10454" s="34"/>
      <c r="G10454" s="34"/>
      <c r="H10454" s="4"/>
    </row>
    <row r="10455" spans="5:8" x14ac:dyDescent="0.25">
      <c r="E10455" s="34"/>
      <c r="G10455" s="34"/>
      <c r="H10455" s="4"/>
    </row>
    <row r="10456" spans="5:8" x14ac:dyDescent="0.25">
      <c r="E10456" s="34"/>
      <c r="G10456" s="34"/>
      <c r="H10456" s="4"/>
    </row>
    <row r="10457" spans="5:8" x14ac:dyDescent="0.25">
      <c r="E10457" s="34"/>
      <c r="G10457" s="34"/>
      <c r="H10457" s="4"/>
    </row>
    <row r="10458" spans="5:8" x14ac:dyDescent="0.25">
      <c r="E10458" s="34"/>
      <c r="G10458" s="34"/>
      <c r="H10458" s="4"/>
    </row>
    <row r="10459" spans="5:8" x14ac:dyDescent="0.25">
      <c r="E10459" s="34"/>
      <c r="G10459" s="34"/>
      <c r="H10459" s="4"/>
    </row>
    <row r="10460" spans="5:8" x14ac:dyDescent="0.25">
      <c r="E10460" s="34"/>
      <c r="G10460" s="34"/>
      <c r="H10460" s="4"/>
    </row>
    <row r="10461" spans="5:8" x14ac:dyDescent="0.25">
      <c r="E10461" s="34"/>
      <c r="G10461" s="34"/>
      <c r="H10461" s="4"/>
    </row>
    <row r="10462" spans="5:8" x14ac:dyDescent="0.25">
      <c r="E10462" s="34"/>
      <c r="G10462" s="34"/>
      <c r="H10462" s="4"/>
    </row>
    <row r="10463" spans="5:8" x14ac:dyDescent="0.25">
      <c r="E10463" s="34"/>
      <c r="G10463" s="34"/>
      <c r="H10463" s="4"/>
    </row>
    <row r="10464" spans="5:8" x14ac:dyDescent="0.25">
      <c r="E10464" s="34"/>
      <c r="G10464" s="34"/>
      <c r="H10464" s="4"/>
    </row>
    <row r="10465" spans="5:8" x14ac:dyDescent="0.25">
      <c r="E10465" s="34"/>
      <c r="G10465" s="34"/>
      <c r="H10465" s="4"/>
    </row>
    <row r="10466" spans="5:8" x14ac:dyDescent="0.25">
      <c r="E10466" s="34"/>
      <c r="G10466" s="34"/>
      <c r="H10466" s="4"/>
    </row>
    <row r="10467" spans="5:8" x14ac:dyDescent="0.25">
      <c r="E10467" s="34"/>
      <c r="G10467" s="34"/>
      <c r="H10467" s="4"/>
    </row>
    <row r="10468" spans="5:8" x14ac:dyDescent="0.25">
      <c r="E10468" s="34"/>
      <c r="G10468" s="34"/>
      <c r="H10468" s="4"/>
    </row>
    <row r="10469" spans="5:8" x14ac:dyDescent="0.25">
      <c r="E10469" s="34"/>
      <c r="G10469" s="34"/>
      <c r="H10469" s="4"/>
    </row>
    <row r="10470" spans="5:8" x14ac:dyDescent="0.25">
      <c r="E10470" s="34"/>
      <c r="G10470" s="34"/>
      <c r="H10470" s="4"/>
    </row>
    <row r="10471" spans="5:8" x14ac:dyDescent="0.25">
      <c r="E10471" s="34"/>
      <c r="G10471" s="34"/>
      <c r="H10471" s="4"/>
    </row>
    <row r="10472" spans="5:8" x14ac:dyDescent="0.25">
      <c r="E10472" s="34"/>
      <c r="G10472" s="34"/>
      <c r="H10472" s="4"/>
    </row>
    <row r="10473" spans="5:8" x14ac:dyDescent="0.25">
      <c r="E10473" s="34"/>
      <c r="G10473" s="34"/>
      <c r="H10473" s="4"/>
    </row>
    <row r="10474" spans="5:8" x14ac:dyDescent="0.25">
      <c r="E10474" s="34"/>
      <c r="G10474" s="34"/>
      <c r="H10474" s="4"/>
    </row>
    <row r="10475" spans="5:8" x14ac:dyDescent="0.25">
      <c r="E10475" s="34"/>
      <c r="G10475" s="34"/>
      <c r="H10475" s="4"/>
    </row>
    <row r="10476" spans="5:8" x14ac:dyDescent="0.25">
      <c r="E10476" s="34"/>
      <c r="G10476" s="34"/>
      <c r="H10476" s="4"/>
    </row>
    <row r="10477" spans="5:8" x14ac:dyDescent="0.25">
      <c r="E10477" s="34"/>
      <c r="G10477" s="34"/>
      <c r="H10477" s="4"/>
    </row>
    <row r="10478" spans="5:8" x14ac:dyDescent="0.25">
      <c r="E10478" s="34"/>
      <c r="G10478" s="34"/>
      <c r="H10478" s="4"/>
    </row>
    <row r="10479" spans="5:8" x14ac:dyDescent="0.25">
      <c r="E10479" s="34"/>
      <c r="G10479" s="34"/>
      <c r="H10479" s="4"/>
    </row>
    <row r="10480" spans="5:8" x14ac:dyDescent="0.25">
      <c r="E10480" s="34"/>
      <c r="G10480" s="34"/>
      <c r="H10480" s="4"/>
    </row>
    <row r="10481" spans="5:8" x14ac:dyDescent="0.25">
      <c r="E10481" s="34"/>
      <c r="G10481" s="34"/>
      <c r="H10481" s="4"/>
    </row>
    <row r="10482" spans="5:8" x14ac:dyDescent="0.25">
      <c r="E10482" s="34"/>
      <c r="G10482" s="34"/>
      <c r="H10482" s="4"/>
    </row>
    <row r="10483" spans="5:8" x14ac:dyDescent="0.25">
      <c r="E10483" s="34"/>
      <c r="G10483" s="34"/>
      <c r="H10483" s="4"/>
    </row>
    <row r="10484" spans="5:8" x14ac:dyDescent="0.25">
      <c r="E10484" s="34"/>
      <c r="G10484" s="34"/>
      <c r="H10484" s="4"/>
    </row>
    <row r="10485" spans="5:8" x14ac:dyDescent="0.25">
      <c r="E10485" s="34"/>
      <c r="G10485" s="34"/>
      <c r="H10485" s="4"/>
    </row>
    <row r="10486" spans="5:8" x14ac:dyDescent="0.25">
      <c r="E10486" s="34"/>
      <c r="G10486" s="34"/>
      <c r="H10486" s="4"/>
    </row>
    <row r="10487" spans="5:8" x14ac:dyDescent="0.25">
      <c r="E10487" s="34"/>
      <c r="G10487" s="34"/>
      <c r="H10487" s="4"/>
    </row>
    <row r="10488" spans="5:8" x14ac:dyDescent="0.25">
      <c r="E10488" s="34"/>
      <c r="G10488" s="34"/>
      <c r="H10488" s="4"/>
    </row>
    <row r="10489" spans="5:8" x14ac:dyDescent="0.25">
      <c r="E10489" s="34"/>
      <c r="G10489" s="34"/>
      <c r="H10489" s="4"/>
    </row>
    <row r="10490" spans="5:8" x14ac:dyDescent="0.25">
      <c r="E10490" s="34"/>
      <c r="G10490" s="34"/>
      <c r="H10490" s="4"/>
    </row>
    <row r="10491" spans="5:8" x14ac:dyDescent="0.25">
      <c r="E10491" s="34"/>
      <c r="G10491" s="34"/>
      <c r="H10491" s="4"/>
    </row>
    <row r="10492" spans="5:8" x14ac:dyDescent="0.25">
      <c r="E10492" s="34"/>
      <c r="G10492" s="34"/>
      <c r="H10492" s="4"/>
    </row>
    <row r="10493" spans="5:8" x14ac:dyDescent="0.25">
      <c r="E10493" s="34"/>
      <c r="G10493" s="34"/>
      <c r="H10493" s="4"/>
    </row>
    <row r="10494" spans="5:8" x14ac:dyDescent="0.25">
      <c r="E10494" s="34"/>
      <c r="G10494" s="34"/>
      <c r="H10494" s="4"/>
    </row>
    <row r="10495" spans="5:8" x14ac:dyDescent="0.25">
      <c r="E10495" s="34"/>
      <c r="G10495" s="34"/>
      <c r="H10495" s="4"/>
    </row>
    <row r="10496" spans="5:8" x14ac:dyDescent="0.25">
      <c r="E10496" s="34"/>
      <c r="G10496" s="34"/>
      <c r="H10496" s="4"/>
    </row>
    <row r="10497" spans="5:8" x14ac:dyDescent="0.25">
      <c r="E10497" s="34"/>
      <c r="G10497" s="34"/>
      <c r="H10497" s="4"/>
    </row>
    <row r="10498" spans="5:8" x14ac:dyDescent="0.25">
      <c r="E10498" s="34"/>
      <c r="G10498" s="34"/>
      <c r="H10498" s="4"/>
    </row>
    <row r="10499" spans="5:8" x14ac:dyDescent="0.25">
      <c r="E10499" s="34"/>
      <c r="G10499" s="34"/>
      <c r="H10499" s="4"/>
    </row>
    <row r="10500" spans="5:8" x14ac:dyDescent="0.25">
      <c r="E10500" s="34"/>
      <c r="G10500" s="34"/>
      <c r="H10500" s="4"/>
    </row>
    <row r="10501" spans="5:8" x14ac:dyDescent="0.25">
      <c r="E10501" s="34"/>
      <c r="G10501" s="34"/>
      <c r="H10501" s="4"/>
    </row>
    <row r="10502" spans="5:8" x14ac:dyDescent="0.25">
      <c r="E10502" s="34"/>
      <c r="G10502" s="34"/>
      <c r="H10502" s="4"/>
    </row>
    <row r="10503" spans="5:8" x14ac:dyDescent="0.25">
      <c r="E10503" s="34"/>
      <c r="G10503" s="34"/>
      <c r="H10503" s="4"/>
    </row>
    <row r="10504" spans="5:8" x14ac:dyDescent="0.25">
      <c r="E10504" s="34"/>
      <c r="G10504" s="34"/>
      <c r="H10504" s="4"/>
    </row>
    <row r="10505" spans="5:8" x14ac:dyDescent="0.25">
      <c r="E10505" s="34"/>
      <c r="G10505" s="34"/>
      <c r="H10505" s="4"/>
    </row>
    <row r="10506" spans="5:8" x14ac:dyDescent="0.25">
      <c r="E10506" s="34"/>
      <c r="G10506" s="34"/>
      <c r="H10506" s="4"/>
    </row>
    <row r="10507" spans="5:8" x14ac:dyDescent="0.25">
      <c r="E10507" s="34"/>
      <c r="G10507" s="34"/>
      <c r="H10507" s="4"/>
    </row>
    <row r="10508" spans="5:8" x14ac:dyDescent="0.25">
      <c r="E10508" s="34"/>
      <c r="G10508" s="34"/>
      <c r="H10508" s="4"/>
    </row>
    <row r="10509" spans="5:8" x14ac:dyDescent="0.25">
      <c r="E10509" s="34"/>
      <c r="G10509" s="34"/>
      <c r="H10509" s="4"/>
    </row>
    <row r="10510" spans="5:8" x14ac:dyDescent="0.25">
      <c r="E10510" s="34"/>
      <c r="G10510" s="34"/>
      <c r="H10510" s="4"/>
    </row>
    <row r="10511" spans="5:8" x14ac:dyDescent="0.25">
      <c r="E10511" s="34"/>
      <c r="G10511" s="34"/>
      <c r="H10511" s="4"/>
    </row>
    <row r="10512" spans="5:8" x14ac:dyDescent="0.25">
      <c r="E10512" s="34"/>
      <c r="G10512" s="34"/>
      <c r="H10512" s="4"/>
    </row>
    <row r="10513" spans="5:8" x14ac:dyDescent="0.25">
      <c r="E10513" s="34"/>
      <c r="G10513" s="34"/>
      <c r="H10513" s="4"/>
    </row>
    <row r="10514" spans="5:8" x14ac:dyDescent="0.25">
      <c r="E10514" s="34"/>
      <c r="G10514" s="34"/>
      <c r="H10514" s="4"/>
    </row>
    <row r="10515" spans="5:8" x14ac:dyDescent="0.25">
      <c r="E10515" s="34"/>
      <c r="G10515" s="34"/>
      <c r="H10515" s="4"/>
    </row>
    <row r="10516" spans="5:8" x14ac:dyDescent="0.25">
      <c r="E10516" s="34"/>
      <c r="G10516" s="34"/>
      <c r="H10516" s="4"/>
    </row>
    <row r="10517" spans="5:8" x14ac:dyDescent="0.25">
      <c r="E10517" s="34"/>
      <c r="G10517" s="34"/>
      <c r="H10517" s="4"/>
    </row>
    <row r="10518" spans="5:8" x14ac:dyDescent="0.25">
      <c r="E10518" s="34"/>
      <c r="G10518" s="34"/>
      <c r="H10518" s="4"/>
    </row>
    <row r="10519" spans="5:8" x14ac:dyDescent="0.25">
      <c r="E10519" s="34"/>
      <c r="G10519" s="34"/>
      <c r="H10519" s="4"/>
    </row>
    <row r="10520" spans="5:8" x14ac:dyDescent="0.25">
      <c r="E10520" s="34"/>
      <c r="G10520" s="34"/>
      <c r="H10520" s="4"/>
    </row>
    <row r="10521" spans="5:8" x14ac:dyDescent="0.25">
      <c r="E10521" s="34"/>
      <c r="G10521" s="34"/>
      <c r="H10521" s="4"/>
    </row>
    <row r="10522" spans="5:8" x14ac:dyDescent="0.25">
      <c r="E10522" s="34"/>
      <c r="G10522" s="34"/>
      <c r="H10522" s="4"/>
    </row>
    <row r="10523" spans="5:8" x14ac:dyDescent="0.25">
      <c r="E10523" s="34"/>
      <c r="G10523" s="34"/>
      <c r="H10523" s="4"/>
    </row>
    <row r="10524" spans="5:8" x14ac:dyDescent="0.25">
      <c r="E10524" s="34"/>
      <c r="G10524" s="34"/>
      <c r="H10524" s="4"/>
    </row>
    <row r="10525" spans="5:8" x14ac:dyDescent="0.25">
      <c r="E10525" s="34"/>
      <c r="G10525" s="34"/>
      <c r="H10525" s="4"/>
    </row>
    <row r="10526" spans="5:8" x14ac:dyDescent="0.25">
      <c r="E10526" s="34"/>
      <c r="G10526" s="34"/>
      <c r="H10526" s="4"/>
    </row>
    <row r="10527" spans="5:8" x14ac:dyDescent="0.25">
      <c r="E10527" s="34"/>
      <c r="G10527" s="34"/>
      <c r="H10527" s="4"/>
    </row>
    <row r="10528" spans="5:8" x14ac:dyDescent="0.25">
      <c r="E10528" s="34"/>
      <c r="G10528" s="34"/>
      <c r="H10528" s="4"/>
    </row>
    <row r="10529" spans="5:8" x14ac:dyDescent="0.25">
      <c r="E10529" s="34"/>
      <c r="G10529" s="34"/>
      <c r="H10529" s="4"/>
    </row>
    <row r="10530" spans="5:8" x14ac:dyDescent="0.25">
      <c r="E10530" s="34"/>
      <c r="G10530" s="34"/>
      <c r="H10530" s="4"/>
    </row>
    <row r="10531" spans="5:8" x14ac:dyDescent="0.25">
      <c r="E10531" s="34"/>
      <c r="G10531" s="34"/>
      <c r="H10531" s="4"/>
    </row>
    <row r="10532" spans="5:8" x14ac:dyDescent="0.25">
      <c r="E10532" s="34"/>
      <c r="G10532" s="34"/>
      <c r="H10532" s="4"/>
    </row>
    <row r="10533" spans="5:8" x14ac:dyDescent="0.25">
      <c r="E10533" s="34"/>
      <c r="G10533" s="34"/>
      <c r="H10533" s="4"/>
    </row>
    <row r="10534" spans="5:8" x14ac:dyDescent="0.25">
      <c r="E10534" s="34"/>
      <c r="G10534" s="34"/>
      <c r="H10534" s="4"/>
    </row>
    <row r="10535" spans="5:8" x14ac:dyDescent="0.25">
      <c r="E10535" s="34"/>
      <c r="G10535" s="34"/>
      <c r="H10535" s="4"/>
    </row>
    <row r="10536" spans="5:8" x14ac:dyDescent="0.25">
      <c r="E10536" s="34"/>
      <c r="G10536" s="34"/>
      <c r="H10536" s="4"/>
    </row>
    <row r="10537" spans="5:8" x14ac:dyDescent="0.25">
      <c r="E10537" s="34"/>
      <c r="G10537" s="34"/>
      <c r="H10537" s="4"/>
    </row>
    <row r="10538" spans="5:8" x14ac:dyDescent="0.25">
      <c r="E10538" s="34"/>
      <c r="G10538" s="34"/>
      <c r="H10538" s="4"/>
    </row>
    <row r="10539" spans="5:8" x14ac:dyDescent="0.25">
      <c r="E10539" s="34"/>
      <c r="G10539" s="34"/>
      <c r="H10539" s="4"/>
    </row>
    <row r="10540" spans="5:8" x14ac:dyDescent="0.25">
      <c r="E10540" s="34"/>
      <c r="G10540" s="34"/>
      <c r="H10540" s="4"/>
    </row>
    <row r="10541" spans="5:8" x14ac:dyDescent="0.25">
      <c r="E10541" s="34"/>
      <c r="G10541" s="34"/>
      <c r="H10541" s="4"/>
    </row>
    <row r="10542" spans="5:8" x14ac:dyDescent="0.25">
      <c r="E10542" s="34"/>
      <c r="G10542" s="34"/>
      <c r="H10542" s="4"/>
    </row>
    <row r="10543" spans="5:8" x14ac:dyDescent="0.25">
      <c r="E10543" s="34"/>
      <c r="G10543" s="34"/>
      <c r="H10543" s="4"/>
    </row>
    <row r="10544" spans="5:8" x14ac:dyDescent="0.25">
      <c r="E10544" s="34"/>
      <c r="G10544" s="34"/>
      <c r="H10544" s="4"/>
    </row>
    <row r="10545" spans="5:8" x14ac:dyDescent="0.25">
      <c r="E10545" s="34"/>
      <c r="G10545" s="34"/>
      <c r="H10545" s="4"/>
    </row>
    <row r="10546" spans="5:8" x14ac:dyDescent="0.25">
      <c r="E10546" s="34"/>
      <c r="G10546" s="34"/>
      <c r="H10546" s="4"/>
    </row>
    <row r="10547" spans="5:8" x14ac:dyDescent="0.25">
      <c r="E10547" s="34"/>
      <c r="G10547" s="34"/>
      <c r="H10547" s="4"/>
    </row>
    <row r="10548" spans="5:8" x14ac:dyDescent="0.25">
      <c r="E10548" s="34"/>
      <c r="G10548" s="34"/>
      <c r="H10548" s="4"/>
    </row>
    <row r="10549" spans="5:8" x14ac:dyDescent="0.25">
      <c r="E10549" s="34"/>
      <c r="G10549" s="34"/>
      <c r="H10549" s="4"/>
    </row>
    <row r="10550" spans="5:8" x14ac:dyDescent="0.25">
      <c r="E10550" s="34"/>
      <c r="G10550" s="34"/>
      <c r="H10550" s="4"/>
    </row>
    <row r="10551" spans="5:8" x14ac:dyDescent="0.25">
      <c r="E10551" s="34"/>
      <c r="G10551" s="34"/>
      <c r="H10551" s="4"/>
    </row>
    <row r="10552" spans="5:8" x14ac:dyDescent="0.25">
      <c r="E10552" s="34"/>
      <c r="G10552" s="34"/>
      <c r="H10552" s="4"/>
    </row>
    <row r="10553" spans="5:8" x14ac:dyDescent="0.25">
      <c r="E10553" s="34"/>
      <c r="G10553" s="34"/>
      <c r="H10553" s="4"/>
    </row>
    <row r="10554" spans="5:8" x14ac:dyDescent="0.25">
      <c r="E10554" s="34"/>
      <c r="G10554" s="34"/>
      <c r="H10554" s="4"/>
    </row>
    <row r="10555" spans="5:8" x14ac:dyDescent="0.25">
      <c r="E10555" s="34"/>
      <c r="G10555" s="34"/>
      <c r="H10555" s="4"/>
    </row>
    <row r="10556" spans="5:8" x14ac:dyDescent="0.25">
      <c r="E10556" s="34"/>
      <c r="G10556" s="34"/>
      <c r="H10556" s="4"/>
    </row>
    <row r="10557" spans="5:8" x14ac:dyDescent="0.25">
      <c r="E10557" s="34"/>
      <c r="G10557" s="34"/>
      <c r="H10557" s="4"/>
    </row>
    <row r="10558" spans="5:8" x14ac:dyDescent="0.25">
      <c r="E10558" s="34"/>
      <c r="G10558" s="34"/>
      <c r="H10558" s="4"/>
    </row>
    <row r="10559" spans="5:8" x14ac:dyDescent="0.25">
      <c r="E10559" s="34"/>
      <c r="G10559" s="34"/>
      <c r="H10559" s="4"/>
    </row>
    <row r="10560" spans="5:8" x14ac:dyDescent="0.25">
      <c r="E10560" s="34"/>
      <c r="G10560" s="34"/>
      <c r="H10560" s="4"/>
    </row>
    <row r="10561" spans="5:8" x14ac:dyDescent="0.25">
      <c r="E10561" s="34"/>
      <c r="G10561" s="34"/>
      <c r="H10561" s="4"/>
    </row>
    <row r="10562" spans="5:8" x14ac:dyDescent="0.25">
      <c r="E10562" s="34"/>
      <c r="G10562" s="34"/>
      <c r="H10562" s="4"/>
    </row>
    <row r="10563" spans="5:8" x14ac:dyDescent="0.25">
      <c r="E10563" s="34"/>
      <c r="G10563" s="34"/>
      <c r="H10563" s="4"/>
    </row>
    <row r="10564" spans="5:8" x14ac:dyDescent="0.25">
      <c r="E10564" s="34"/>
      <c r="G10564" s="34"/>
      <c r="H10564" s="4"/>
    </row>
    <row r="10565" spans="5:8" x14ac:dyDescent="0.25">
      <c r="E10565" s="34"/>
      <c r="G10565" s="34"/>
      <c r="H10565" s="4"/>
    </row>
    <row r="10566" spans="5:8" x14ac:dyDescent="0.25">
      <c r="E10566" s="34"/>
      <c r="G10566" s="34"/>
      <c r="H10566" s="4"/>
    </row>
    <row r="10567" spans="5:8" x14ac:dyDescent="0.25">
      <c r="E10567" s="34"/>
      <c r="G10567" s="34"/>
      <c r="H10567" s="4"/>
    </row>
    <row r="10568" spans="5:8" x14ac:dyDescent="0.25">
      <c r="E10568" s="34"/>
      <c r="G10568" s="34"/>
      <c r="H10568" s="4"/>
    </row>
    <row r="10569" spans="5:8" x14ac:dyDescent="0.25">
      <c r="E10569" s="34"/>
      <c r="G10569" s="34"/>
      <c r="H10569" s="4"/>
    </row>
    <row r="10570" spans="5:8" x14ac:dyDescent="0.25">
      <c r="E10570" s="34"/>
      <c r="G10570" s="34"/>
      <c r="H10570" s="4"/>
    </row>
    <row r="10571" spans="5:8" x14ac:dyDescent="0.25">
      <c r="E10571" s="34"/>
      <c r="G10571" s="34"/>
      <c r="H10571" s="4"/>
    </row>
    <row r="10572" spans="5:8" x14ac:dyDescent="0.25">
      <c r="E10572" s="34"/>
      <c r="G10572" s="34"/>
      <c r="H10572" s="4"/>
    </row>
    <row r="10573" spans="5:8" x14ac:dyDescent="0.25">
      <c r="E10573" s="34"/>
      <c r="G10573" s="34"/>
      <c r="H10573" s="4"/>
    </row>
    <row r="10574" spans="5:8" x14ac:dyDescent="0.25">
      <c r="E10574" s="34"/>
      <c r="G10574" s="34"/>
      <c r="H10574" s="4"/>
    </row>
    <row r="10575" spans="5:8" x14ac:dyDescent="0.25">
      <c r="E10575" s="34"/>
      <c r="G10575" s="34"/>
      <c r="H10575" s="4"/>
    </row>
    <row r="10576" spans="5:8" x14ac:dyDescent="0.25">
      <c r="E10576" s="34"/>
      <c r="G10576" s="34"/>
      <c r="H10576" s="4"/>
    </row>
    <row r="10577" spans="5:8" x14ac:dyDescent="0.25">
      <c r="E10577" s="34"/>
      <c r="G10577" s="34"/>
      <c r="H10577" s="4"/>
    </row>
    <row r="10578" spans="5:8" x14ac:dyDescent="0.25">
      <c r="E10578" s="34"/>
      <c r="G10578" s="34"/>
      <c r="H10578" s="4"/>
    </row>
    <row r="10579" spans="5:8" x14ac:dyDescent="0.25">
      <c r="E10579" s="34"/>
      <c r="G10579" s="34"/>
      <c r="H10579" s="4"/>
    </row>
    <row r="10580" spans="5:8" x14ac:dyDescent="0.25">
      <c r="E10580" s="34"/>
      <c r="G10580" s="34"/>
      <c r="H10580" s="4"/>
    </row>
    <row r="10581" spans="5:8" x14ac:dyDescent="0.25">
      <c r="E10581" s="34"/>
      <c r="G10581" s="34"/>
      <c r="H10581" s="4"/>
    </row>
    <row r="10582" spans="5:8" x14ac:dyDescent="0.25">
      <c r="E10582" s="34"/>
      <c r="G10582" s="34"/>
      <c r="H10582" s="4"/>
    </row>
    <row r="10583" spans="5:8" x14ac:dyDescent="0.25">
      <c r="E10583" s="34"/>
      <c r="G10583" s="34"/>
      <c r="H10583" s="4"/>
    </row>
    <row r="10584" spans="5:8" x14ac:dyDescent="0.25">
      <c r="E10584" s="34"/>
      <c r="G10584" s="34"/>
      <c r="H10584" s="4"/>
    </row>
    <row r="10585" spans="5:8" x14ac:dyDescent="0.25">
      <c r="E10585" s="34"/>
      <c r="G10585" s="34"/>
      <c r="H10585" s="4"/>
    </row>
    <row r="10586" spans="5:8" x14ac:dyDescent="0.25">
      <c r="E10586" s="34"/>
      <c r="G10586" s="34"/>
      <c r="H10586" s="4"/>
    </row>
    <row r="10587" spans="5:8" x14ac:dyDescent="0.25">
      <c r="E10587" s="34"/>
      <c r="G10587" s="34"/>
      <c r="H10587" s="4"/>
    </row>
    <row r="10588" spans="5:8" x14ac:dyDescent="0.25">
      <c r="E10588" s="34"/>
      <c r="G10588" s="34"/>
      <c r="H10588" s="4"/>
    </row>
    <row r="10589" spans="5:8" x14ac:dyDescent="0.25">
      <c r="E10589" s="34"/>
      <c r="G10589" s="34"/>
      <c r="H10589" s="4"/>
    </row>
    <row r="10590" spans="5:8" x14ac:dyDescent="0.25">
      <c r="E10590" s="34"/>
      <c r="G10590" s="34"/>
      <c r="H10590" s="4"/>
    </row>
    <row r="10591" spans="5:8" x14ac:dyDescent="0.25">
      <c r="E10591" s="34"/>
      <c r="G10591" s="34"/>
      <c r="H10591" s="4"/>
    </row>
    <row r="10592" spans="5:8" x14ac:dyDescent="0.25">
      <c r="E10592" s="34"/>
      <c r="G10592" s="34"/>
      <c r="H10592" s="4"/>
    </row>
    <row r="10593" spans="5:8" x14ac:dyDescent="0.25">
      <c r="E10593" s="34"/>
      <c r="G10593" s="34"/>
      <c r="H10593" s="4"/>
    </row>
    <row r="10594" spans="5:8" x14ac:dyDescent="0.25">
      <c r="E10594" s="34"/>
      <c r="G10594" s="34"/>
      <c r="H10594" s="4"/>
    </row>
    <row r="10595" spans="5:8" x14ac:dyDescent="0.25">
      <c r="E10595" s="34"/>
      <c r="G10595" s="34"/>
      <c r="H10595" s="4"/>
    </row>
    <row r="10596" spans="5:8" x14ac:dyDescent="0.25">
      <c r="E10596" s="34"/>
      <c r="G10596" s="34"/>
      <c r="H10596" s="4"/>
    </row>
    <row r="10597" spans="5:8" x14ac:dyDescent="0.25">
      <c r="E10597" s="34"/>
      <c r="G10597" s="34"/>
      <c r="H10597" s="4"/>
    </row>
    <row r="10598" spans="5:8" x14ac:dyDescent="0.25">
      <c r="E10598" s="34"/>
      <c r="G10598" s="34"/>
      <c r="H10598" s="4"/>
    </row>
    <row r="10599" spans="5:8" x14ac:dyDescent="0.25">
      <c r="E10599" s="34"/>
      <c r="G10599" s="34"/>
      <c r="H10599" s="4"/>
    </row>
    <row r="10600" spans="5:8" x14ac:dyDescent="0.25">
      <c r="E10600" s="34"/>
      <c r="G10600" s="34"/>
      <c r="H10600" s="4"/>
    </row>
    <row r="10601" spans="5:8" x14ac:dyDescent="0.25">
      <c r="E10601" s="34"/>
      <c r="G10601" s="34"/>
      <c r="H10601" s="4"/>
    </row>
    <row r="10602" spans="5:8" x14ac:dyDescent="0.25">
      <c r="E10602" s="34"/>
      <c r="G10602" s="34"/>
      <c r="H10602" s="4"/>
    </row>
    <row r="10603" spans="5:8" x14ac:dyDescent="0.25">
      <c r="E10603" s="34"/>
      <c r="G10603" s="34"/>
      <c r="H10603" s="4"/>
    </row>
    <row r="10604" spans="5:8" x14ac:dyDescent="0.25">
      <c r="E10604" s="34"/>
      <c r="G10604" s="34"/>
      <c r="H10604" s="4"/>
    </row>
    <row r="10605" spans="5:8" x14ac:dyDescent="0.25">
      <c r="E10605" s="34"/>
      <c r="G10605" s="34"/>
      <c r="H10605" s="4"/>
    </row>
    <row r="10606" spans="5:8" x14ac:dyDescent="0.25">
      <c r="E10606" s="34"/>
      <c r="G10606" s="34"/>
      <c r="H10606" s="4"/>
    </row>
    <row r="10607" spans="5:8" x14ac:dyDescent="0.25">
      <c r="E10607" s="34"/>
      <c r="G10607" s="34"/>
      <c r="H10607" s="4"/>
    </row>
    <row r="10608" spans="5:8" x14ac:dyDescent="0.25">
      <c r="E10608" s="34"/>
      <c r="G10608" s="34"/>
      <c r="H10608" s="4"/>
    </row>
    <row r="10609" spans="5:8" x14ac:dyDescent="0.25">
      <c r="E10609" s="34"/>
      <c r="G10609" s="34"/>
      <c r="H10609" s="4"/>
    </row>
    <row r="10610" spans="5:8" x14ac:dyDescent="0.25">
      <c r="E10610" s="34"/>
      <c r="G10610" s="34"/>
      <c r="H10610" s="4"/>
    </row>
    <row r="10611" spans="5:8" x14ac:dyDescent="0.25">
      <c r="E10611" s="34"/>
      <c r="G10611" s="34"/>
      <c r="H10611" s="4"/>
    </row>
    <row r="10612" spans="5:8" x14ac:dyDescent="0.25">
      <c r="E10612" s="34"/>
      <c r="G10612" s="34"/>
      <c r="H10612" s="4"/>
    </row>
    <row r="10613" spans="5:8" x14ac:dyDescent="0.25">
      <c r="E10613" s="34"/>
      <c r="G10613" s="34"/>
      <c r="H10613" s="4"/>
    </row>
    <row r="10614" spans="5:8" x14ac:dyDescent="0.25">
      <c r="E10614" s="34"/>
      <c r="G10614" s="34"/>
      <c r="H10614" s="4"/>
    </row>
    <row r="10615" spans="5:8" x14ac:dyDescent="0.25">
      <c r="E10615" s="34"/>
      <c r="G10615" s="34"/>
      <c r="H10615" s="4"/>
    </row>
    <row r="10616" spans="5:8" x14ac:dyDescent="0.25">
      <c r="E10616" s="34"/>
      <c r="G10616" s="34"/>
      <c r="H10616" s="4"/>
    </row>
    <row r="10617" spans="5:8" x14ac:dyDescent="0.25">
      <c r="E10617" s="34"/>
      <c r="G10617" s="34"/>
      <c r="H10617" s="4"/>
    </row>
    <row r="10618" spans="5:8" x14ac:dyDescent="0.25">
      <c r="E10618" s="34"/>
      <c r="G10618" s="34"/>
      <c r="H10618" s="4"/>
    </row>
    <row r="10619" spans="5:8" x14ac:dyDescent="0.25">
      <c r="E10619" s="34"/>
      <c r="G10619" s="34"/>
      <c r="H10619" s="4"/>
    </row>
    <row r="10620" spans="5:8" x14ac:dyDescent="0.25">
      <c r="E10620" s="34"/>
      <c r="G10620" s="34"/>
      <c r="H10620" s="4"/>
    </row>
    <row r="10621" spans="5:8" x14ac:dyDescent="0.25">
      <c r="E10621" s="34"/>
      <c r="G10621" s="34"/>
      <c r="H10621" s="4"/>
    </row>
    <row r="10622" spans="5:8" x14ac:dyDescent="0.25">
      <c r="E10622" s="34"/>
      <c r="G10622" s="34"/>
      <c r="H10622" s="4"/>
    </row>
    <row r="10623" spans="5:8" x14ac:dyDescent="0.25">
      <c r="E10623" s="34"/>
      <c r="G10623" s="34"/>
      <c r="H10623" s="4"/>
    </row>
    <row r="10624" spans="5:8" x14ac:dyDescent="0.25">
      <c r="E10624" s="34"/>
      <c r="G10624" s="34"/>
      <c r="H10624" s="4"/>
    </row>
    <row r="10625" spans="5:8" x14ac:dyDescent="0.25">
      <c r="E10625" s="34"/>
      <c r="G10625" s="34"/>
      <c r="H10625" s="4"/>
    </row>
    <row r="10626" spans="5:8" x14ac:dyDescent="0.25">
      <c r="E10626" s="34"/>
      <c r="G10626" s="34"/>
      <c r="H10626" s="4"/>
    </row>
    <row r="10627" spans="5:8" x14ac:dyDescent="0.25">
      <c r="E10627" s="34"/>
      <c r="G10627" s="34"/>
      <c r="H10627" s="4"/>
    </row>
    <row r="10628" spans="5:8" x14ac:dyDescent="0.25">
      <c r="E10628" s="34"/>
      <c r="G10628" s="34"/>
      <c r="H10628" s="4"/>
    </row>
    <row r="10629" spans="5:8" x14ac:dyDescent="0.25">
      <c r="E10629" s="34"/>
      <c r="G10629" s="34"/>
      <c r="H10629" s="4"/>
    </row>
    <row r="10630" spans="5:8" x14ac:dyDescent="0.25">
      <c r="E10630" s="34"/>
      <c r="G10630" s="34"/>
      <c r="H10630" s="4"/>
    </row>
    <row r="10631" spans="5:8" x14ac:dyDescent="0.25">
      <c r="E10631" s="34"/>
      <c r="G10631" s="34"/>
      <c r="H10631" s="4"/>
    </row>
    <row r="10632" spans="5:8" x14ac:dyDescent="0.25">
      <c r="E10632" s="34"/>
      <c r="G10632" s="34"/>
      <c r="H10632" s="4"/>
    </row>
    <row r="10633" spans="5:8" x14ac:dyDescent="0.25">
      <c r="E10633" s="34"/>
      <c r="G10633" s="34"/>
      <c r="H10633" s="4"/>
    </row>
    <row r="10634" spans="5:8" x14ac:dyDescent="0.25">
      <c r="E10634" s="34"/>
      <c r="G10634" s="34"/>
      <c r="H10634" s="4"/>
    </row>
    <row r="10635" spans="5:8" x14ac:dyDescent="0.25">
      <c r="E10635" s="34"/>
      <c r="G10635" s="34"/>
      <c r="H10635" s="4"/>
    </row>
    <row r="10636" spans="5:8" x14ac:dyDescent="0.25">
      <c r="E10636" s="34"/>
      <c r="G10636" s="34"/>
      <c r="H10636" s="4"/>
    </row>
    <row r="10637" spans="5:8" x14ac:dyDescent="0.25">
      <c r="E10637" s="34"/>
      <c r="G10637" s="34"/>
      <c r="H10637" s="4"/>
    </row>
    <row r="10638" spans="5:8" x14ac:dyDescent="0.25">
      <c r="E10638" s="34"/>
      <c r="G10638" s="34"/>
      <c r="H10638" s="4"/>
    </row>
    <row r="10639" spans="5:8" x14ac:dyDescent="0.25">
      <c r="E10639" s="34"/>
      <c r="G10639" s="34"/>
      <c r="H10639" s="4"/>
    </row>
    <row r="10640" spans="5:8" x14ac:dyDescent="0.25">
      <c r="E10640" s="34"/>
      <c r="G10640" s="34"/>
      <c r="H10640" s="4"/>
    </row>
    <row r="10641" spans="5:8" x14ac:dyDescent="0.25">
      <c r="E10641" s="34"/>
      <c r="G10641" s="34"/>
      <c r="H10641" s="4"/>
    </row>
    <row r="10642" spans="5:8" x14ac:dyDescent="0.25">
      <c r="E10642" s="34"/>
      <c r="G10642" s="34"/>
      <c r="H10642" s="4"/>
    </row>
    <row r="10643" spans="5:8" x14ac:dyDescent="0.25">
      <c r="E10643" s="34"/>
      <c r="G10643" s="34"/>
      <c r="H10643" s="4"/>
    </row>
    <row r="10644" spans="5:8" x14ac:dyDescent="0.25">
      <c r="E10644" s="34"/>
      <c r="G10644" s="34"/>
      <c r="H10644" s="4"/>
    </row>
    <row r="10645" spans="5:8" x14ac:dyDescent="0.25">
      <c r="E10645" s="34"/>
      <c r="G10645" s="34"/>
      <c r="H10645" s="4"/>
    </row>
    <row r="10646" spans="5:8" x14ac:dyDescent="0.25">
      <c r="E10646" s="34"/>
      <c r="G10646" s="34"/>
      <c r="H10646" s="4"/>
    </row>
    <row r="10647" spans="5:8" x14ac:dyDescent="0.25">
      <c r="E10647" s="34"/>
      <c r="G10647" s="34"/>
      <c r="H10647" s="4"/>
    </row>
    <row r="10648" spans="5:8" x14ac:dyDescent="0.25">
      <c r="E10648" s="34"/>
      <c r="G10648" s="34"/>
      <c r="H10648" s="4"/>
    </row>
    <row r="10649" spans="5:8" x14ac:dyDescent="0.25">
      <c r="E10649" s="34"/>
      <c r="G10649" s="34"/>
      <c r="H10649" s="4"/>
    </row>
    <row r="10650" spans="5:8" x14ac:dyDescent="0.25">
      <c r="E10650" s="34"/>
      <c r="G10650" s="34"/>
      <c r="H10650" s="4"/>
    </row>
    <row r="10651" spans="5:8" x14ac:dyDescent="0.25">
      <c r="E10651" s="34"/>
      <c r="G10651" s="34"/>
      <c r="H10651" s="4"/>
    </row>
    <row r="10652" spans="5:8" x14ac:dyDescent="0.25">
      <c r="E10652" s="34"/>
      <c r="G10652" s="34"/>
      <c r="H10652" s="4"/>
    </row>
    <row r="10653" spans="5:8" x14ac:dyDescent="0.25">
      <c r="E10653" s="34"/>
      <c r="G10653" s="34"/>
      <c r="H10653" s="4"/>
    </row>
    <row r="10654" spans="5:8" x14ac:dyDescent="0.25">
      <c r="E10654" s="34"/>
      <c r="G10654" s="34"/>
      <c r="H10654" s="4"/>
    </row>
    <row r="10655" spans="5:8" x14ac:dyDescent="0.25">
      <c r="E10655" s="34"/>
      <c r="G10655" s="34"/>
      <c r="H10655" s="4"/>
    </row>
    <row r="10656" spans="5:8" x14ac:dyDescent="0.25">
      <c r="E10656" s="34"/>
      <c r="G10656" s="34"/>
      <c r="H10656" s="4"/>
    </row>
    <row r="10657" spans="5:8" x14ac:dyDescent="0.25">
      <c r="E10657" s="34"/>
      <c r="G10657" s="34"/>
      <c r="H10657" s="4"/>
    </row>
    <row r="10658" spans="5:8" x14ac:dyDescent="0.25">
      <c r="E10658" s="34"/>
      <c r="G10658" s="34"/>
      <c r="H10658" s="4"/>
    </row>
    <row r="10659" spans="5:8" x14ac:dyDescent="0.25">
      <c r="E10659" s="34"/>
      <c r="G10659" s="34"/>
      <c r="H10659" s="4"/>
    </row>
    <row r="10660" spans="5:8" x14ac:dyDescent="0.25">
      <c r="E10660" s="34"/>
      <c r="G10660" s="34"/>
      <c r="H10660" s="4"/>
    </row>
    <row r="10661" spans="5:8" x14ac:dyDescent="0.25">
      <c r="E10661" s="34"/>
      <c r="G10661" s="34"/>
      <c r="H10661" s="4"/>
    </row>
    <row r="10662" spans="5:8" x14ac:dyDescent="0.25">
      <c r="E10662" s="34"/>
      <c r="G10662" s="34"/>
      <c r="H10662" s="4"/>
    </row>
    <row r="10663" spans="5:8" x14ac:dyDescent="0.25">
      <c r="E10663" s="34"/>
      <c r="G10663" s="34"/>
      <c r="H10663" s="4"/>
    </row>
    <row r="10664" spans="5:8" x14ac:dyDescent="0.25">
      <c r="E10664" s="34"/>
      <c r="G10664" s="34"/>
      <c r="H10664" s="4"/>
    </row>
    <row r="10665" spans="5:8" x14ac:dyDescent="0.25">
      <c r="E10665" s="34"/>
      <c r="G10665" s="34"/>
      <c r="H10665" s="4"/>
    </row>
    <row r="10666" spans="5:8" x14ac:dyDescent="0.25">
      <c r="E10666" s="34"/>
      <c r="G10666" s="34"/>
      <c r="H10666" s="4"/>
    </row>
    <row r="10667" spans="5:8" x14ac:dyDescent="0.25">
      <c r="E10667" s="34"/>
      <c r="G10667" s="34"/>
      <c r="H10667" s="4"/>
    </row>
    <row r="10668" spans="5:8" x14ac:dyDescent="0.25">
      <c r="E10668" s="34"/>
      <c r="G10668" s="34"/>
      <c r="H10668" s="4"/>
    </row>
    <row r="10669" spans="5:8" x14ac:dyDescent="0.25">
      <c r="E10669" s="34"/>
      <c r="G10669" s="34"/>
      <c r="H10669" s="4"/>
    </row>
    <row r="10670" spans="5:8" x14ac:dyDescent="0.25">
      <c r="E10670" s="34"/>
      <c r="G10670" s="34"/>
      <c r="H10670" s="4"/>
    </row>
    <row r="10671" spans="5:8" x14ac:dyDescent="0.25">
      <c r="E10671" s="34"/>
      <c r="G10671" s="34"/>
      <c r="H10671" s="4"/>
    </row>
    <row r="10672" spans="5:8" x14ac:dyDescent="0.25">
      <c r="E10672" s="34"/>
      <c r="G10672" s="34"/>
      <c r="H10672" s="4"/>
    </row>
    <row r="10673" spans="5:8" x14ac:dyDescent="0.25">
      <c r="E10673" s="34"/>
      <c r="G10673" s="34"/>
      <c r="H10673" s="4"/>
    </row>
    <row r="10674" spans="5:8" x14ac:dyDescent="0.25">
      <c r="E10674" s="34"/>
      <c r="G10674" s="34"/>
      <c r="H10674" s="4"/>
    </row>
    <row r="10675" spans="5:8" x14ac:dyDescent="0.25">
      <c r="E10675" s="34"/>
      <c r="G10675" s="34"/>
      <c r="H10675" s="4"/>
    </row>
    <row r="10676" spans="5:8" x14ac:dyDescent="0.25">
      <c r="E10676" s="34"/>
      <c r="G10676" s="34"/>
      <c r="H10676" s="4"/>
    </row>
    <row r="10677" spans="5:8" x14ac:dyDescent="0.25">
      <c r="E10677" s="34"/>
      <c r="G10677" s="34"/>
      <c r="H10677" s="4"/>
    </row>
    <row r="10678" spans="5:8" x14ac:dyDescent="0.25">
      <c r="E10678" s="34"/>
      <c r="G10678" s="34"/>
      <c r="H10678" s="4"/>
    </row>
    <row r="10679" spans="5:8" x14ac:dyDescent="0.25">
      <c r="E10679" s="34"/>
      <c r="G10679" s="34"/>
      <c r="H10679" s="4"/>
    </row>
    <row r="10680" spans="5:8" x14ac:dyDescent="0.25">
      <c r="E10680" s="34"/>
      <c r="G10680" s="34"/>
      <c r="H10680" s="4"/>
    </row>
    <row r="10681" spans="5:8" x14ac:dyDescent="0.25">
      <c r="E10681" s="34"/>
      <c r="G10681" s="34"/>
      <c r="H10681" s="4"/>
    </row>
    <row r="10682" spans="5:8" x14ac:dyDescent="0.25">
      <c r="E10682" s="34"/>
      <c r="G10682" s="34"/>
      <c r="H10682" s="4"/>
    </row>
    <row r="10683" spans="5:8" x14ac:dyDescent="0.25">
      <c r="E10683" s="34"/>
      <c r="G10683" s="34"/>
      <c r="H10683" s="4"/>
    </row>
    <row r="10684" spans="5:8" x14ac:dyDescent="0.25">
      <c r="E10684" s="34"/>
      <c r="G10684" s="34"/>
      <c r="H10684" s="4"/>
    </row>
    <row r="10685" spans="5:8" x14ac:dyDescent="0.25">
      <c r="E10685" s="34"/>
      <c r="G10685" s="34"/>
      <c r="H10685" s="4"/>
    </row>
    <row r="10686" spans="5:8" x14ac:dyDescent="0.25">
      <c r="E10686" s="34"/>
      <c r="G10686" s="34"/>
      <c r="H10686" s="4"/>
    </row>
    <row r="10687" spans="5:8" x14ac:dyDescent="0.25">
      <c r="E10687" s="34"/>
      <c r="G10687" s="34"/>
      <c r="H10687" s="4"/>
    </row>
    <row r="10688" spans="5:8" x14ac:dyDescent="0.25">
      <c r="E10688" s="34"/>
      <c r="G10688" s="34"/>
      <c r="H10688" s="4"/>
    </row>
    <row r="10689" spans="5:8" x14ac:dyDescent="0.25">
      <c r="E10689" s="34"/>
      <c r="G10689" s="34"/>
      <c r="H10689" s="4"/>
    </row>
    <row r="10690" spans="5:8" x14ac:dyDescent="0.25">
      <c r="E10690" s="34"/>
      <c r="G10690" s="34"/>
      <c r="H10690" s="4"/>
    </row>
    <row r="10691" spans="5:8" x14ac:dyDescent="0.25">
      <c r="E10691" s="34"/>
      <c r="G10691" s="34"/>
      <c r="H10691" s="4"/>
    </row>
    <row r="10692" spans="5:8" x14ac:dyDescent="0.25">
      <c r="E10692" s="34"/>
      <c r="G10692" s="34"/>
      <c r="H10692" s="4"/>
    </row>
    <row r="10693" spans="5:8" x14ac:dyDescent="0.25">
      <c r="E10693" s="34"/>
      <c r="G10693" s="34"/>
      <c r="H10693" s="4"/>
    </row>
    <row r="10694" spans="5:8" x14ac:dyDescent="0.25">
      <c r="E10694" s="34"/>
      <c r="G10694" s="34"/>
      <c r="H10694" s="4"/>
    </row>
    <row r="10695" spans="5:8" x14ac:dyDescent="0.25">
      <c r="E10695" s="34"/>
      <c r="G10695" s="34"/>
      <c r="H10695" s="4"/>
    </row>
    <row r="10696" spans="5:8" x14ac:dyDescent="0.25">
      <c r="E10696" s="34"/>
      <c r="G10696" s="34"/>
      <c r="H10696" s="4"/>
    </row>
    <row r="10697" spans="5:8" x14ac:dyDescent="0.25">
      <c r="E10697" s="34"/>
      <c r="G10697" s="34"/>
      <c r="H10697" s="4"/>
    </row>
    <row r="10698" spans="5:8" x14ac:dyDescent="0.25">
      <c r="E10698" s="34"/>
      <c r="G10698" s="34"/>
      <c r="H10698" s="4"/>
    </row>
    <row r="10699" spans="5:8" x14ac:dyDescent="0.25">
      <c r="E10699" s="34"/>
      <c r="G10699" s="34"/>
      <c r="H10699" s="4"/>
    </row>
    <row r="10700" spans="5:8" x14ac:dyDescent="0.25">
      <c r="E10700" s="34"/>
      <c r="G10700" s="34"/>
      <c r="H10700" s="4"/>
    </row>
    <row r="10701" spans="5:8" x14ac:dyDescent="0.25">
      <c r="E10701" s="34"/>
      <c r="G10701" s="34"/>
      <c r="H10701" s="4"/>
    </row>
    <row r="10702" spans="5:8" x14ac:dyDescent="0.25">
      <c r="E10702" s="34"/>
      <c r="G10702" s="34"/>
      <c r="H10702" s="4"/>
    </row>
    <row r="10703" spans="5:8" x14ac:dyDescent="0.25">
      <c r="E10703" s="34"/>
      <c r="G10703" s="34"/>
      <c r="H10703" s="4"/>
    </row>
    <row r="10704" spans="5:8" x14ac:dyDescent="0.25">
      <c r="E10704" s="34"/>
      <c r="G10704" s="34"/>
      <c r="H10704" s="4"/>
    </row>
    <row r="10705" spans="5:8" x14ac:dyDescent="0.25">
      <c r="E10705" s="34"/>
      <c r="G10705" s="34"/>
      <c r="H10705" s="4"/>
    </row>
    <row r="10706" spans="5:8" x14ac:dyDescent="0.25">
      <c r="E10706" s="34"/>
      <c r="G10706" s="34"/>
      <c r="H10706" s="4"/>
    </row>
    <row r="10707" spans="5:8" x14ac:dyDescent="0.25">
      <c r="E10707" s="34"/>
      <c r="G10707" s="34"/>
      <c r="H10707" s="4"/>
    </row>
    <row r="10708" spans="5:8" x14ac:dyDescent="0.25">
      <c r="E10708" s="34"/>
      <c r="G10708" s="34"/>
      <c r="H10708" s="4"/>
    </row>
    <row r="10709" spans="5:8" x14ac:dyDescent="0.25">
      <c r="E10709" s="34"/>
      <c r="G10709" s="34"/>
      <c r="H10709" s="4"/>
    </row>
    <row r="10710" spans="5:8" x14ac:dyDescent="0.25">
      <c r="E10710" s="34"/>
      <c r="G10710" s="34"/>
      <c r="H10710" s="4"/>
    </row>
    <row r="10711" spans="5:8" x14ac:dyDescent="0.25">
      <c r="E10711" s="34"/>
      <c r="G10711" s="34"/>
      <c r="H10711" s="4"/>
    </row>
    <row r="10712" spans="5:8" x14ac:dyDescent="0.25">
      <c r="E10712" s="34"/>
      <c r="G10712" s="34"/>
      <c r="H10712" s="4"/>
    </row>
    <row r="10713" spans="5:8" x14ac:dyDescent="0.25">
      <c r="E10713" s="34"/>
      <c r="G10713" s="34"/>
      <c r="H10713" s="4"/>
    </row>
    <row r="10714" spans="5:8" x14ac:dyDescent="0.25">
      <c r="E10714" s="34"/>
      <c r="G10714" s="34"/>
      <c r="H10714" s="4"/>
    </row>
    <row r="10715" spans="5:8" x14ac:dyDescent="0.25">
      <c r="E10715" s="34"/>
      <c r="G10715" s="34"/>
      <c r="H10715" s="4"/>
    </row>
    <row r="10716" spans="5:8" x14ac:dyDescent="0.25">
      <c r="E10716" s="34"/>
      <c r="G10716" s="34"/>
      <c r="H10716" s="4"/>
    </row>
    <row r="10717" spans="5:8" x14ac:dyDescent="0.25">
      <c r="E10717" s="34"/>
      <c r="G10717" s="34"/>
      <c r="H10717" s="4"/>
    </row>
    <row r="10718" spans="5:8" x14ac:dyDescent="0.25">
      <c r="E10718" s="34"/>
      <c r="G10718" s="34"/>
      <c r="H10718" s="4"/>
    </row>
    <row r="10719" spans="5:8" x14ac:dyDescent="0.25">
      <c r="E10719" s="34"/>
      <c r="G10719" s="34"/>
      <c r="H10719" s="4"/>
    </row>
    <row r="10720" spans="5:8" x14ac:dyDescent="0.25">
      <c r="E10720" s="34"/>
      <c r="G10720" s="34"/>
      <c r="H10720" s="4"/>
    </row>
    <row r="10721" spans="5:8" x14ac:dyDescent="0.25">
      <c r="E10721" s="34"/>
      <c r="G10721" s="34"/>
      <c r="H10721" s="4"/>
    </row>
    <row r="10722" spans="5:8" x14ac:dyDescent="0.25">
      <c r="E10722" s="34"/>
      <c r="G10722" s="34"/>
      <c r="H10722" s="4"/>
    </row>
    <row r="10723" spans="5:8" x14ac:dyDescent="0.25">
      <c r="E10723" s="34"/>
      <c r="G10723" s="34"/>
      <c r="H10723" s="4"/>
    </row>
    <row r="10724" spans="5:8" x14ac:dyDescent="0.25">
      <c r="E10724" s="34"/>
      <c r="G10724" s="34"/>
      <c r="H10724" s="4"/>
    </row>
    <row r="10725" spans="5:8" x14ac:dyDescent="0.25">
      <c r="E10725" s="34"/>
      <c r="G10725" s="34"/>
      <c r="H10725" s="4"/>
    </row>
    <row r="10726" spans="5:8" x14ac:dyDescent="0.25">
      <c r="E10726" s="34"/>
      <c r="G10726" s="34"/>
      <c r="H10726" s="4"/>
    </row>
    <row r="10727" spans="5:8" x14ac:dyDescent="0.25">
      <c r="E10727" s="34"/>
      <c r="G10727" s="34"/>
      <c r="H10727" s="4"/>
    </row>
    <row r="10728" spans="5:8" x14ac:dyDescent="0.25">
      <c r="E10728" s="34"/>
      <c r="G10728" s="34"/>
      <c r="H10728" s="4"/>
    </row>
    <row r="10729" spans="5:8" x14ac:dyDescent="0.25">
      <c r="E10729" s="34"/>
      <c r="G10729" s="34"/>
      <c r="H10729" s="4"/>
    </row>
    <row r="10730" spans="5:8" x14ac:dyDescent="0.25">
      <c r="E10730" s="34"/>
      <c r="G10730" s="34"/>
      <c r="H10730" s="4"/>
    </row>
    <row r="10731" spans="5:8" x14ac:dyDescent="0.25">
      <c r="E10731" s="34"/>
      <c r="G10731" s="34"/>
      <c r="H10731" s="4"/>
    </row>
    <row r="10732" spans="5:8" x14ac:dyDescent="0.25">
      <c r="E10732" s="34"/>
      <c r="G10732" s="34"/>
      <c r="H10732" s="4"/>
    </row>
    <row r="10733" spans="5:8" x14ac:dyDescent="0.25">
      <c r="E10733" s="34"/>
      <c r="G10733" s="34"/>
      <c r="H10733" s="4"/>
    </row>
    <row r="10734" spans="5:8" x14ac:dyDescent="0.25">
      <c r="E10734" s="34"/>
      <c r="G10734" s="34"/>
      <c r="H10734" s="4"/>
    </row>
    <row r="10735" spans="5:8" x14ac:dyDescent="0.25">
      <c r="E10735" s="34"/>
      <c r="G10735" s="34"/>
      <c r="H10735" s="4"/>
    </row>
    <row r="10736" spans="5:8" x14ac:dyDescent="0.25">
      <c r="E10736" s="34"/>
      <c r="G10736" s="34"/>
      <c r="H10736" s="4"/>
    </row>
    <row r="10737" spans="5:8" x14ac:dyDescent="0.25">
      <c r="E10737" s="34"/>
      <c r="G10737" s="34"/>
      <c r="H10737" s="4"/>
    </row>
    <row r="10738" spans="5:8" x14ac:dyDescent="0.25">
      <c r="E10738" s="34"/>
      <c r="G10738" s="34"/>
      <c r="H10738" s="4"/>
    </row>
    <row r="10739" spans="5:8" x14ac:dyDescent="0.25">
      <c r="E10739" s="34"/>
      <c r="G10739" s="34"/>
      <c r="H10739" s="4"/>
    </row>
    <row r="10740" spans="5:8" x14ac:dyDescent="0.25">
      <c r="E10740" s="34"/>
      <c r="G10740" s="34"/>
      <c r="H10740" s="4"/>
    </row>
    <row r="10741" spans="5:8" x14ac:dyDescent="0.25">
      <c r="E10741" s="34"/>
      <c r="G10741" s="34"/>
      <c r="H10741" s="4"/>
    </row>
    <row r="10742" spans="5:8" x14ac:dyDescent="0.25">
      <c r="E10742" s="34"/>
      <c r="G10742" s="34"/>
      <c r="H10742" s="4"/>
    </row>
    <row r="10743" spans="5:8" x14ac:dyDescent="0.25">
      <c r="E10743" s="34"/>
      <c r="G10743" s="34"/>
      <c r="H10743" s="4"/>
    </row>
    <row r="10744" spans="5:8" x14ac:dyDescent="0.25">
      <c r="E10744" s="34"/>
      <c r="G10744" s="34"/>
      <c r="H10744" s="4"/>
    </row>
    <row r="10745" spans="5:8" x14ac:dyDescent="0.25">
      <c r="E10745" s="34"/>
      <c r="G10745" s="34"/>
      <c r="H10745" s="4"/>
    </row>
    <row r="10746" spans="5:8" x14ac:dyDescent="0.25">
      <c r="E10746" s="34"/>
      <c r="G10746" s="34"/>
      <c r="H10746" s="4"/>
    </row>
    <row r="10747" spans="5:8" x14ac:dyDescent="0.25">
      <c r="E10747" s="34"/>
      <c r="G10747" s="34"/>
      <c r="H10747" s="4"/>
    </row>
    <row r="10748" spans="5:8" x14ac:dyDescent="0.25">
      <c r="E10748" s="34"/>
      <c r="G10748" s="34"/>
      <c r="H10748" s="4"/>
    </row>
    <row r="10749" spans="5:8" x14ac:dyDescent="0.25">
      <c r="E10749" s="34"/>
      <c r="G10749" s="34"/>
      <c r="H10749" s="4"/>
    </row>
    <row r="10750" spans="5:8" x14ac:dyDescent="0.25">
      <c r="E10750" s="34"/>
      <c r="G10750" s="34"/>
      <c r="H10750" s="4"/>
    </row>
    <row r="10751" spans="5:8" x14ac:dyDescent="0.25">
      <c r="E10751" s="34"/>
      <c r="G10751" s="34"/>
      <c r="H10751" s="4"/>
    </row>
    <row r="10752" spans="5:8" x14ac:dyDescent="0.25">
      <c r="E10752" s="34"/>
      <c r="G10752" s="34"/>
      <c r="H10752" s="4"/>
    </row>
    <row r="10753" spans="5:8" x14ac:dyDescent="0.25">
      <c r="E10753" s="34"/>
      <c r="G10753" s="34"/>
      <c r="H10753" s="4"/>
    </row>
    <row r="10754" spans="5:8" x14ac:dyDescent="0.25">
      <c r="E10754" s="34"/>
      <c r="G10754" s="34"/>
      <c r="H10754" s="4"/>
    </row>
    <row r="10755" spans="5:8" x14ac:dyDescent="0.25">
      <c r="E10755" s="34"/>
      <c r="G10755" s="34"/>
      <c r="H10755" s="4"/>
    </row>
    <row r="10756" spans="5:8" x14ac:dyDescent="0.25">
      <c r="E10756" s="34"/>
      <c r="G10756" s="34"/>
      <c r="H10756" s="4"/>
    </row>
    <row r="10757" spans="5:8" x14ac:dyDescent="0.25">
      <c r="E10757" s="34"/>
      <c r="G10757" s="34"/>
      <c r="H10757" s="4"/>
    </row>
    <row r="10758" spans="5:8" x14ac:dyDescent="0.25">
      <c r="E10758" s="34"/>
      <c r="G10758" s="34"/>
      <c r="H10758" s="4"/>
    </row>
    <row r="10759" spans="5:8" x14ac:dyDescent="0.25">
      <c r="E10759" s="34"/>
      <c r="G10759" s="34"/>
      <c r="H10759" s="4"/>
    </row>
    <row r="10760" spans="5:8" x14ac:dyDescent="0.25">
      <c r="E10760" s="34"/>
      <c r="G10760" s="34"/>
      <c r="H10760" s="4"/>
    </row>
    <row r="10761" spans="5:8" x14ac:dyDescent="0.25">
      <c r="E10761" s="34"/>
      <c r="G10761" s="34"/>
      <c r="H10761" s="4"/>
    </row>
    <row r="10762" spans="5:8" x14ac:dyDescent="0.25">
      <c r="E10762" s="34"/>
      <c r="G10762" s="34"/>
      <c r="H10762" s="4"/>
    </row>
    <row r="10763" spans="5:8" x14ac:dyDescent="0.25">
      <c r="E10763" s="34"/>
      <c r="G10763" s="34"/>
      <c r="H10763" s="4"/>
    </row>
    <row r="10764" spans="5:8" x14ac:dyDescent="0.25">
      <c r="E10764" s="34"/>
      <c r="G10764" s="34"/>
      <c r="H10764" s="4"/>
    </row>
    <row r="10765" spans="5:8" x14ac:dyDescent="0.25">
      <c r="E10765" s="34"/>
      <c r="G10765" s="34"/>
      <c r="H10765" s="4"/>
    </row>
    <row r="10766" spans="5:8" x14ac:dyDescent="0.25">
      <c r="E10766" s="34"/>
      <c r="G10766" s="34"/>
      <c r="H10766" s="4"/>
    </row>
    <row r="10767" spans="5:8" x14ac:dyDescent="0.25">
      <c r="E10767" s="34"/>
      <c r="G10767" s="34"/>
      <c r="H10767" s="4"/>
    </row>
    <row r="10768" spans="5:8" x14ac:dyDescent="0.25">
      <c r="E10768" s="34"/>
      <c r="G10768" s="34"/>
      <c r="H10768" s="4"/>
    </row>
    <row r="10769" spans="5:8" x14ac:dyDescent="0.25">
      <c r="E10769" s="34"/>
      <c r="G10769" s="34"/>
      <c r="H10769" s="4"/>
    </row>
    <row r="10770" spans="5:8" x14ac:dyDescent="0.25">
      <c r="E10770" s="34"/>
      <c r="G10770" s="34"/>
      <c r="H10770" s="4"/>
    </row>
    <row r="10771" spans="5:8" x14ac:dyDescent="0.25">
      <c r="E10771" s="34"/>
      <c r="G10771" s="34"/>
      <c r="H10771" s="4"/>
    </row>
    <row r="10772" spans="5:8" x14ac:dyDescent="0.25">
      <c r="E10772" s="34"/>
      <c r="G10772" s="34"/>
      <c r="H10772" s="4"/>
    </row>
    <row r="10773" spans="5:8" x14ac:dyDescent="0.25">
      <c r="E10773" s="34"/>
      <c r="G10773" s="34"/>
      <c r="H10773" s="4"/>
    </row>
    <row r="10774" spans="5:8" x14ac:dyDescent="0.25">
      <c r="E10774" s="34"/>
      <c r="G10774" s="34"/>
      <c r="H10774" s="4"/>
    </row>
    <row r="10775" spans="5:8" x14ac:dyDescent="0.25">
      <c r="E10775" s="34"/>
      <c r="G10775" s="34"/>
      <c r="H10775" s="4"/>
    </row>
    <row r="10776" spans="5:8" x14ac:dyDescent="0.25">
      <c r="E10776" s="34"/>
      <c r="G10776" s="34"/>
      <c r="H10776" s="4"/>
    </row>
    <row r="10777" spans="5:8" x14ac:dyDescent="0.25">
      <c r="E10777" s="34"/>
      <c r="G10777" s="34"/>
      <c r="H10777" s="4"/>
    </row>
    <row r="10778" spans="5:8" x14ac:dyDescent="0.25">
      <c r="E10778" s="34"/>
      <c r="G10778" s="34"/>
      <c r="H10778" s="4"/>
    </row>
    <row r="10779" spans="5:8" x14ac:dyDescent="0.25">
      <c r="E10779" s="34"/>
      <c r="G10779" s="34"/>
      <c r="H10779" s="4"/>
    </row>
    <row r="10780" spans="5:8" x14ac:dyDescent="0.25">
      <c r="E10780" s="34"/>
      <c r="G10780" s="34"/>
      <c r="H10780" s="4"/>
    </row>
    <row r="10781" spans="5:8" x14ac:dyDescent="0.25">
      <c r="E10781" s="34"/>
      <c r="G10781" s="34"/>
      <c r="H10781" s="4"/>
    </row>
    <row r="10782" spans="5:8" x14ac:dyDescent="0.25">
      <c r="E10782" s="34"/>
      <c r="G10782" s="34"/>
      <c r="H10782" s="4"/>
    </row>
    <row r="10783" spans="5:8" x14ac:dyDescent="0.25">
      <c r="E10783" s="34"/>
      <c r="G10783" s="34"/>
      <c r="H10783" s="4"/>
    </row>
    <row r="10784" spans="5:8" x14ac:dyDescent="0.25">
      <c r="E10784" s="34"/>
      <c r="G10784" s="34"/>
      <c r="H10784" s="4"/>
    </row>
    <row r="10785" spans="5:8" x14ac:dyDescent="0.25">
      <c r="E10785" s="34"/>
      <c r="G10785" s="34"/>
      <c r="H10785" s="4"/>
    </row>
    <row r="10786" spans="5:8" x14ac:dyDescent="0.25">
      <c r="E10786" s="34"/>
      <c r="G10786" s="34"/>
      <c r="H10786" s="4"/>
    </row>
    <row r="10787" spans="5:8" x14ac:dyDescent="0.25">
      <c r="E10787" s="34"/>
      <c r="G10787" s="34"/>
      <c r="H10787" s="4"/>
    </row>
    <row r="10788" spans="5:8" x14ac:dyDescent="0.25">
      <c r="E10788" s="34"/>
      <c r="G10788" s="34"/>
      <c r="H10788" s="4"/>
    </row>
    <row r="10789" spans="5:8" x14ac:dyDescent="0.25">
      <c r="E10789" s="34"/>
      <c r="G10789" s="34"/>
      <c r="H10789" s="4"/>
    </row>
    <row r="10790" spans="5:8" x14ac:dyDescent="0.25">
      <c r="E10790" s="34"/>
      <c r="G10790" s="34"/>
      <c r="H10790" s="4"/>
    </row>
    <row r="10791" spans="5:8" x14ac:dyDescent="0.25">
      <c r="E10791" s="34"/>
      <c r="G10791" s="34"/>
      <c r="H10791" s="4"/>
    </row>
    <row r="10792" spans="5:8" x14ac:dyDescent="0.25">
      <c r="E10792" s="34"/>
      <c r="G10792" s="34"/>
      <c r="H10792" s="4"/>
    </row>
    <row r="10793" spans="5:8" x14ac:dyDescent="0.25">
      <c r="E10793" s="34"/>
      <c r="G10793" s="34"/>
      <c r="H10793" s="4"/>
    </row>
    <row r="10794" spans="5:8" x14ac:dyDescent="0.25">
      <c r="E10794" s="34"/>
      <c r="G10794" s="34"/>
      <c r="H10794" s="4"/>
    </row>
    <row r="10795" spans="5:8" x14ac:dyDescent="0.25">
      <c r="E10795" s="34"/>
      <c r="G10795" s="34"/>
      <c r="H10795" s="4"/>
    </row>
    <row r="10796" spans="5:8" x14ac:dyDescent="0.25">
      <c r="E10796" s="34"/>
      <c r="G10796" s="34"/>
      <c r="H10796" s="4"/>
    </row>
    <row r="10797" spans="5:8" x14ac:dyDescent="0.25">
      <c r="E10797" s="34"/>
      <c r="G10797" s="34"/>
      <c r="H10797" s="4"/>
    </row>
    <row r="10798" spans="5:8" x14ac:dyDescent="0.25">
      <c r="E10798" s="34"/>
      <c r="G10798" s="34"/>
      <c r="H10798" s="4"/>
    </row>
    <row r="10799" spans="5:8" x14ac:dyDescent="0.25">
      <c r="E10799" s="34"/>
      <c r="G10799" s="34"/>
      <c r="H10799" s="4"/>
    </row>
    <row r="10800" spans="5:8" x14ac:dyDescent="0.25">
      <c r="E10800" s="34"/>
      <c r="G10800" s="34"/>
      <c r="H10800" s="4"/>
    </row>
    <row r="10801" spans="5:8" x14ac:dyDescent="0.25">
      <c r="E10801" s="34"/>
      <c r="G10801" s="34"/>
      <c r="H10801" s="4"/>
    </row>
    <row r="10802" spans="5:8" x14ac:dyDescent="0.25">
      <c r="E10802" s="34"/>
      <c r="G10802" s="34"/>
      <c r="H10802" s="4"/>
    </row>
    <row r="10803" spans="5:8" x14ac:dyDescent="0.25">
      <c r="E10803" s="34"/>
      <c r="G10803" s="34"/>
      <c r="H10803" s="4"/>
    </row>
    <row r="10804" spans="5:8" x14ac:dyDescent="0.25">
      <c r="E10804" s="34"/>
      <c r="G10804" s="34"/>
      <c r="H10804" s="4"/>
    </row>
    <row r="10805" spans="5:8" x14ac:dyDescent="0.25">
      <c r="E10805" s="34"/>
      <c r="G10805" s="34"/>
      <c r="H10805" s="4"/>
    </row>
    <row r="10806" spans="5:8" x14ac:dyDescent="0.25">
      <c r="E10806" s="34"/>
      <c r="G10806" s="34"/>
      <c r="H10806" s="4"/>
    </row>
    <row r="10807" spans="5:8" x14ac:dyDescent="0.25">
      <c r="E10807" s="34"/>
      <c r="G10807" s="34"/>
      <c r="H10807" s="4"/>
    </row>
    <row r="10808" spans="5:8" x14ac:dyDescent="0.25">
      <c r="E10808" s="34"/>
      <c r="G10808" s="34"/>
      <c r="H10808" s="4"/>
    </row>
    <row r="10809" spans="5:8" x14ac:dyDescent="0.25">
      <c r="E10809" s="34"/>
      <c r="G10809" s="34"/>
      <c r="H10809" s="4"/>
    </row>
    <row r="10810" spans="5:8" x14ac:dyDescent="0.25">
      <c r="E10810" s="34"/>
      <c r="G10810" s="34"/>
      <c r="H10810" s="4"/>
    </row>
    <row r="10811" spans="5:8" x14ac:dyDescent="0.25">
      <c r="E10811" s="34"/>
      <c r="G10811" s="34"/>
      <c r="H10811" s="4"/>
    </row>
    <row r="10812" spans="5:8" x14ac:dyDescent="0.25">
      <c r="E10812" s="34"/>
      <c r="G10812" s="34"/>
      <c r="H10812" s="4"/>
    </row>
    <row r="10813" spans="5:8" x14ac:dyDescent="0.25">
      <c r="E10813" s="34"/>
      <c r="G10813" s="34"/>
      <c r="H10813" s="4"/>
    </row>
    <row r="10814" spans="5:8" x14ac:dyDescent="0.25">
      <c r="E10814" s="34"/>
      <c r="G10814" s="34"/>
      <c r="H10814" s="4"/>
    </row>
    <row r="10815" spans="5:8" x14ac:dyDescent="0.25">
      <c r="E10815" s="34"/>
      <c r="G10815" s="34"/>
      <c r="H10815" s="4"/>
    </row>
    <row r="10816" spans="5:8" x14ac:dyDescent="0.25">
      <c r="E10816" s="34"/>
      <c r="G10816" s="34"/>
      <c r="H10816" s="4"/>
    </row>
    <row r="10817" spans="5:8" x14ac:dyDescent="0.25">
      <c r="E10817" s="34"/>
      <c r="G10817" s="34"/>
      <c r="H10817" s="4"/>
    </row>
    <row r="10818" spans="5:8" x14ac:dyDescent="0.25">
      <c r="E10818" s="34"/>
      <c r="G10818" s="34"/>
      <c r="H10818" s="4"/>
    </row>
    <row r="10819" spans="5:8" x14ac:dyDescent="0.25">
      <c r="E10819" s="34"/>
      <c r="G10819" s="34"/>
      <c r="H10819" s="4"/>
    </row>
    <row r="10820" spans="5:8" x14ac:dyDescent="0.25">
      <c r="E10820" s="34"/>
      <c r="G10820" s="34"/>
      <c r="H10820" s="4"/>
    </row>
    <row r="10821" spans="5:8" x14ac:dyDescent="0.25">
      <c r="E10821" s="34"/>
      <c r="G10821" s="34"/>
      <c r="H10821" s="4"/>
    </row>
    <row r="10822" spans="5:8" x14ac:dyDescent="0.25">
      <c r="E10822" s="34"/>
      <c r="G10822" s="34"/>
      <c r="H10822" s="4"/>
    </row>
    <row r="10823" spans="5:8" x14ac:dyDescent="0.25">
      <c r="E10823" s="34"/>
      <c r="G10823" s="34"/>
      <c r="H10823" s="4"/>
    </row>
    <row r="10824" spans="5:8" x14ac:dyDescent="0.25">
      <c r="E10824" s="34"/>
      <c r="G10824" s="34"/>
      <c r="H10824" s="4"/>
    </row>
    <row r="10825" spans="5:8" x14ac:dyDescent="0.25">
      <c r="E10825" s="34"/>
      <c r="G10825" s="34"/>
      <c r="H10825" s="4"/>
    </row>
    <row r="10826" spans="5:8" x14ac:dyDescent="0.25">
      <c r="E10826" s="34"/>
      <c r="G10826" s="34"/>
      <c r="H10826" s="4"/>
    </row>
    <row r="10827" spans="5:8" x14ac:dyDescent="0.25">
      <c r="E10827" s="34"/>
      <c r="G10827" s="34"/>
      <c r="H10827" s="4"/>
    </row>
    <row r="10828" spans="5:8" x14ac:dyDescent="0.25">
      <c r="E10828" s="34"/>
      <c r="G10828" s="34"/>
      <c r="H10828" s="4"/>
    </row>
    <row r="10829" spans="5:8" x14ac:dyDescent="0.25">
      <c r="E10829" s="34"/>
      <c r="G10829" s="34"/>
      <c r="H10829" s="4"/>
    </row>
    <row r="10830" spans="5:8" x14ac:dyDescent="0.25">
      <c r="E10830" s="34"/>
      <c r="G10830" s="34"/>
      <c r="H10830" s="4"/>
    </row>
    <row r="10831" spans="5:8" x14ac:dyDescent="0.25">
      <c r="E10831" s="34"/>
      <c r="G10831" s="34"/>
      <c r="H10831" s="4"/>
    </row>
    <row r="10832" spans="5:8" x14ac:dyDescent="0.25">
      <c r="E10832" s="34"/>
      <c r="G10832" s="34"/>
      <c r="H10832" s="4"/>
    </row>
    <row r="10833" spans="5:8" x14ac:dyDescent="0.25">
      <c r="E10833" s="34"/>
      <c r="G10833" s="34"/>
      <c r="H10833" s="4"/>
    </row>
    <row r="10834" spans="5:8" x14ac:dyDescent="0.25">
      <c r="E10834" s="34"/>
      <c r="G10834" s="34"/>
      <c r="H10834" s="4"/>
    </row>
    <row r="10835" spans="5:8" x14ac:dyDescent="0.25">
      <c r="E10835" s="34"/>
      <c r="G10835" s="34"/>
      <c r="H10835" s="4"/>
    </row>
    <row r="10836" spans="5:8" x14ac:dyDescent="0.25">
      <c r="E10836" s="34"/>
      <c r="G10836" s="34"/>
      <c r="H10836" s="4"/>
    </row>
    <row r="10837" spans="5:8" x14ac:dyDescent="0.25">
      <c r="E10837" s="34"/>
      <c r="G10837" s="34"/>
      <c r="H10837" s="4"/>
    </row>
    <row r="10838" spans="5:8" x14ac:dyDescent="0.25">
      <c r="E10838" s="34"/>
      <c r="G10838" s="34"/>
      <c r="H10838" s="4"/>
    </row>
    <row r="10839" spans="5:8" x14ac:dyDescent="0.25">
      <c r="E10839" s="34"/>
      <c r="G10839" s="34"/>
      <c r="H10839" s="4"/>
    </row>
    <row r="10840" spans="5:8" x14ac:dyDescent="0.25">
      <c r="E10840" s="34"/>
      <c r="G10840" s="34"/>
      <c r="H10840" s="4"/>
    </row>
    <row r="10841" spans="5:8" x14ac:dyDescent="0.25">
      <c r="E10841" s="34"/>
      <c r="G10841" s="34"/>
      <c r="H10841" s="4"/>
    </row>
    <row r="10842" spans="5:8" x14ac:dyDescent="0.25">
      <c r="E10842" s="34"/>
      <c r="G10842" s="34"/>
      <c r="H10842" s="4"/>
    </row>
    <row r="10843" spans="5:8" x14ac:dyDescent="0.25">
      <c r="E10843" s="34"/>
      <c r="G10843" s="34"/>
      <c r="H10843" s="4"/>
    </row>
    <row r="10844" spans="5:8" x14ac:dyDescent="0.25">
      <c r="E10844" s="34"/>
      <c r="G10844" s="34"/>
      <c r="H10844" s="4"/>
    </row>
    <row r="10845" spans="5:8" x14ac:dyDescent="0.25">
      <c r="E10845" s="34"/>
      <c r="G10845" s="34"/>
      <c r="H10845" s="4"/>
    </row>
    <row r="10846" spans="5:8" x14ac:dyDescent="0.25">
      <c r="E10846" s="34"/>
      <c r="G10846" s="34"/>
      <c r="H10846" s="4"/>
    </row>
    <row r="10847" spans="5:8" x14ac:dyDescent="0.25">
      <c r="E10847" s="34"/>
      <c r="G10847" s="34"/>
      <c r="H10847" s="4"/>
    </row>
    <row r="10848" spans="5:8" x14ac:dyDescent="0.25">
      <c r="E10848" s="34"/>
      <c r="G10848" s="34"/>
      <c r="H10848" s="4"/>
    </row>
    <row r="10849" spans="5:8" x14ac:dyDescent="0.25">
      <c r="E10849" s="34"/>
      <c r="G10849" s="34"/>
      <c r="H10849" s="4"/>
    </row>
    <row r="10850" spans="5:8" x14ac:dyDescent="0.25">
      <c r="E10850" s="34"/>
      <c r="G10850" s="34"/>
      <c r="H10850" s="4"/>
    </row>
    <row r="10851" spans="5:8" x14ac:dyDescent="0.25">
      <c r="E10851" s="34"/>
      <c r="G10851" s="34"/>
      <c r="H10851" s="4"/>
    </row>
    <row r="10852" spans="5:8" x14ac:dyDescent="0.25">
      <c r="E10852" s="34"/>
      <c r="G10852" s="34"/>
      <c r="H10852" s="4"/>
    </row>
    <row r="10853" spans="5:8" x14ac:dyDescent="0.25">
      <c r="E10853" s="34"/>
      <c r="G10853" s="34"/>
      <c r="H10853" s="4"/>
    </row>
    <row r="10854" spans="5:8" x14ac:dyDescent="0.25">
      <c r="E10854" s="34"/>
      <c r="G10854" s="34"/>
      <c r="H10854" s="4"/>
    </row>
    <row r="10855" spans="5:8" x14ac:dyDescent="0.25">
      <c r="E10855" s="34"/>
      <c r="G10855" s="34"/>
      <c r="H10855" s="4"/>
    </row>
    <row r="10856" spans="5:8" x14ac:dyDescent="0.25">
      <c r="E10856" s="34"/>
      <c r="G10856" s="34"/>
      <c r="H10856" s="4"/>
    </row>
    <row r="10857" spans="5:8" x14ac:dyDescent="0.25">
      <c r="E10857" s="34"/>
      <c r="G10857" s="34"/>
      <c r="H10857" s="4"/>
    </row>
    <row r="10858" spans="5:8" x14ac:dyDescent="0.25">
      <c r="E10858" s="34"/>
      <c r="G10858" s="34"/>
      <c r="H10858" s="4"/>
    </row>
    <row r="10859" spans="5:8" x14ac:dyDescent="0.25">
      <c r="E10859" s="34"/>
      <c r="G10859" s="34"/>
      <c r="H10859" s="4"/>
    </row>
    <row r="10860" spans="5:8" x14ac:dyDescent="0.25">
      <c r="E10860" s="34"/>
      <c r="G10860" s="34"/>
      <c r="H10860" s="4"/>
    </row>
    <row r="10861" spans="5:8" x14ac:dyDescent="0.25">
      <c r="E10861" s="34"/>
      <c r="G10861" s="34"/>
      <c r="H10861" s="4"/>
    </row>
    <row r="10862" spans="5:8" x14ac:dyDescent="0.25">
      <c r="E10862" s="34"/>
      <c r="G10862" s="34"/>
      <c r="H10862" s="4"/>
    </row>
    <row r="10863" spans="5:8" x14ac:dyDescent="0.25">
      <c r="E10863" s="34"/>
      <c r="G10863" s="34"/>
      <c r="H10863" s="4"/>
    </row>
    <row r="10864" spans="5:8" x14ac:dyDescent="0.25">
      <c r="E10864" s="34"/>
      <c r="G10864" s="34"/>
      <c r="H10864" s="4"/>
    </row>
    <row r="10865" spans="5:8" x14ac:dyDescent="0.25">
      <c r="E10865" s="34"/>
      <c r="G10865" s="34"/>
      <c r="H10865" s="4"/>
    </row>
    <row r="10866" spans="5:8" x14ac:dyDescent="0.25">
      <c r="E10866" s="34"/>
      <c r="G10866" s="34"/>
      <c r="H10866" s="4"/>
    </row>
    <row r="10867" spans="5:8" x14ac:dyDescent="0.25">
      <c r="E10867" s="34"/>
      <c r="G10867" s="34"/>
      <c r="H10867" s="4"/>
    </row>
    <row r="10868" spans="5:8" x14ac:dyDescent="0.25">
      <c r="E10868" s="34"/>
      <c r="G10868" s="34"/>
      <c r="H10868" s="4"/>
    </row>
    <row r="10869" spans="5:8" x14ac:dyDescent="0.25">
      <c r="E10869" s="34"/>
      <c r="G10869" s="34"/>
      <c r="H10869" s="4"/>
    </row>
    <row r="10870" spans="5:8" x14ac:dyDescent="0.25">
      <c r="E10870" s="34"/>
      <c r="G10870" s="34"/>
      <c r="H10870" s="4"/>
    </row>
    <row r="10871" spans="5:8" x14ac:dyDescent="0.25">
      <c r="E10871" s="34"/>
      <c r="G10871" s="34"/>
      <c r="H10871" s="4"/>
    </row>
    <row r="10872" spans="5:8" x14ac:dyDescent="0.25">
      <c r="E10872" s="34"/>
      <c r="G10872" s="34"/>
      <c r="H10872" s="4"/>
    </row>
    <row r="10873" spans="5:8" x14ac:dyDescent="0.25">
      <c r="E10873" s="34"/>
      <c r="G10873" s="34"/>
      <c r="H10873" s="4"/>
    </row>
    <row r="10874" spans="5:8" x14ac:dyDescent="0.25">
      <c r="E10874" s="34"/>
      <c r="G10874" s="34"/>
      <c r="H10874" s="4"/>
    </row>
    <row r="10875" spans="5:8" x14ac:dyDescent="0.25">
      <c r="E10875" s="34"/>
      <c r="G10875" s="34"/>
      <c r="H10875" s="4"/>
    </row>
    <row r="10876" spans="5:8" x14ac:dyDescent="0.25">
      <c r="E10876" s="34"/>
      <c r="G10876" s="34"/>
      <c r="H10876" s="4"/>
    </row>
    <row r="10877" spans="5:8" x14ac:dyDescent="0.25">
      <c r="E10877" s="34"/>
      <c r="G10877" s="34"/>
      <c r="H10877" s="4"/>
    </row>
    <row r="10878" spans="5:8" x14ac:dyDescent="0.25">
      <c r="E10878" s="34"/>
      <c r="G10878" s="34"/>
      <c r="H10878" s="4"/>
    </row>
    <row r="10879" spans="5:8" x14ac:dyDescent="0.25">
      <c r="E10879" s="34"/>
      <c r="G10879" s="34"/>
      <c r="H10879" s="4"/>
    </row>
    <row r="10880" spans="5:8" x14ac:dyDescent="0.25">
      <c r="E10880" s="34"/>
      <c r="G10880" s="34"/>
      <c r="H10880" s="4"/>
    </row>
    <row r="10881" spans="5:8" x14ac:dyDescent="0.25">
      <c r="E10881" s="34"/>
      <c r="G10881" s="34"/>
      <c r="H10881" s="4"/>
    </row>
    <row r="10882" spans="5:8" x14ac:dyDescent="0.25">
      <c r="E10882" s="34"/>
      <c r="G10882" s="34"/>
      <c r="H10882" s="4"/>
    </row>
    <row r="10883" spans="5:8" x14ac:dyDescent="0.25">
      <c r="E10883" s="34"/>
      <c r="G10883" s="34"/>
      <c r="H10883" s="4"/>
    </row>
    <row r="10884" spans="5:8" x14ac:dyDescent="0.25">
      <c r="E10884" s="34"/>
      <c r="G10884" s="34"/>
      <c r="H10884" s="4"/>
    </row>
    <row r="10885" spans="5:8" x14ac:dyDescent="0.25">
      <c r="E10885" s="34"/>
      <c r="G10885" s="34"/>
      <c r="H10885" s="4"/>
    </row>
    <row r="10886" spans="5:8" x14ac:dyDescent="0.25">
      <c r="E10886" s="34"/>
      <c r="G10886" s="34"/>
      <c r="H10886" s="4"/>
    </row>
    <row r="10887" spans="5:8" x14ac:dyDescent="0.25">
      <c r="E10887" s="34"/>
      <c r="G10887" s="34"/>
      <c r="H10887" s="4"/>
    </row>
    <row r="10888" spans="5:8" x14ac:dyDescent="0.25">
      <c r="E10888" s="34"/>
      <c r="G10888" s="34"/>
      <c r="H10888" s="4"/>
    </row>
    <row r="10889" spans="5:8" x14ac:dyDescent="0.25">
      <c r="E10889" s="34"/>
      <c r="G10889" s="34"/>
      <c r="H10889" s="4"/>
    </row>
    <row r="10890" spans="5:8" x14ac:dyDescent="0.25">
      <c r="E10890" s="34"/>
      <c r="G10890" s="34"/>
      <c r="H10890" s="4"/>
    </row>
    <row r="10891" spans="5:8" x14ac:dyDescent="0.25">
      <c r="E10891" s="34"/>
      <c r="G10891" s="34"/>
      <c r="H10891" s="4"/>
    </row>
    <row r="10892" spans="5:8" x14ac:dyDescent="0.25">
      <c r="E10892" s="34"/>
      <c r="G10892" s="34"/>
      <c r="H10892" s="4"/>
    </row>
    <row r="10893" spans="5:8" x14ac:dyDescent="0.25">
      <c r="E10893" s="34"/>
      <c r="G10893" s="34"/>
      <c r="H10893" s="4"/>
    </row>
    <row r="10894" spans="5:8" x14ac:dyDescent="0.25">
      <c r="E10894" s="34"/>
      <c r="G10894" s="34"/>
      <c r="H10894" s="4"/>
    </row>
    <row r="10895" spans="5:8" x14ac:dyDescent="0.25">
      <c r="E10895" s="34"/>
      <c r="G10895" s="34"/>
      <c r="H10895" s="4"/>
    </row>
    <row r="10896" spans="5:8" x14ac:dyDescent="0.25">
      <c r="E10896" s="34"/>
      <c r="G10896" s="34"/>
      <c r="H10896" s="4"/>
    </row>
    <row r="10897" spans="5:8" x14ac:dyDescent="0.25">
      <c r="E10897" s="34"/>
      <c r="G10897" s="34"/>
      <c r="H10897" s="4"/>
    </row>
    <row r="10898" spans="5:8" x14ac:dyDescent="0.25">
      <c r="E10898" s="34"/>
      <c r="G10898" s="34"/>
      <c r="H10898" s="4"/>
    </row>
    <row r="10899" spans="5:8" x14ac:dyDescent="0.25">
      <c r="E10899" s="34"/>
      <c r="G10899" s="34"/>
      <c r="H10899" s="4"/>
    </row>
    <row r="10900" spans="5:8" x14ac:dyDescent="0.25">
      <c r="E10900" s="34"/>
      <c r="G10900" s="34"/>
      <c r="H10900" s="4"/>
    </row>
    <row r="10901" spans="5:8" x14ac:dyDescent="0.25">
      <c r="E10901" s="34"/>
      <c r="G10901" s="34"/>
      <c r="H10901" s="4"/>
    </row>
    <row r="10902" spans="5:8" x14ac:dyDescent="0.25">
      <c r="E10902" s="34"/>
      <c r="G10902" s="34"/>
      <c r="H10902" s="4"/>
    </row>
    <row r="10903" spans="5:8" x14ac:dyDescent="0.25">
      <c r="E10903" s="34"/>
      <c r="G10903" s="34"/>
      <c r="H10903" s="4"/>
    </row>
    <row r="10904" spans="5:8" x14ac:dyDescent="0.25">
      <c r="E10904" s="34"/>
      <c r="G10904" s="34"/>
      <c r="H10904" s="4"/>
    </row>
    <row r="10905" spans="5:8" x14ac:dyDescent="0.25">
      <c r="E10905" s="34"/>
      <c r="G10905" s="34"/>
      <c r="H10905" s="4"/>
    </row>
    <row r="10906" spans="5:8" x14ac:dyDescent="0.25">
      <c r="E10906" s="34"/>
      <c r="G10906" s="34"/>
      <c r="H10906" s="4"/>
    </row>
    <row r="10907" spans="5:8" x14ac:dyDescent="0.25">
      <c r="E10907" s="34"/>
      <c r="G10907" s="34"/>
      <c r="H10907" s="4"/>
    </row>
    <row r="10908" spans="5:8" x14ac:dyDescent="0.25">
      <c r="E10908" s="34"/>
      <c r="G10908" s="34"/>
      <c r="H10908" s="4"/>
    </row>
    <row r="10909" spans="5:8" x14ac:dyDescent="0.25">
      <c r="E10909" s="34"/>
      <c r="G10909" s="34"/>
      <c r="H10909" s="4"/>
    </row>
    <row r="10910" spans="5:8" x14ac:dyDescent="0.25">
      <c r="E10910" s="34"/>
      <c r="G10910" s="34"/>
      <c r="H10910" s="4"/>
    </row>
    <row r="10911" spans="5:8" x14ac:dyDescent="0.25">
      <c r="E10911" s="34"/>
      <c r="G10911" s="34"/>
      <c r="H10911" s="4"/>
    </row>
    <row r="10912" spans="5:8" x14ac:dyDescent="0.25">
      <c r="E10912" s="34"/>
      <c r="G10912" s="34"/>
      <c r="H10912" s="4"/>
    </row>
    <row r="10913" spans="5:8" x14ac:dyDescent="0.25">
      <c r="E10913" s="34"/>
      <c r="G10913" s="34"/>
      <c r="H10913" s="4"/>
    </row>
    <row r="10914" spans="5:8" x14ac:dyDescent="0.25">
      <c r="E10914" s="34"/>
      <c r="G10914" s="34"/>
      <c r="H10914" s="4"/>
    </row>
    <row r="10915" spans="5:8" x14ac:dyDescent="0.25">
      <c r="E10915" s="34"/>
      <c r="G10915" s="34"/>
      <c r="H10915" s="4"/>
    </row>
    <row r="10916" spans="5:8" x14ac:dyDescent="0.25">
      <c r="E10916" s="34"/>
      <c r="G10916" s="34"/>
      <c r="H10916" s="4"/>
    </row>
    <row r="10917" spans="5:8" x14ac:dyDescent="0.25">
      <c r="E10917" s="34"/>
      <c r="G10917" s="34"/>
      <c r="H10917" s="4"/>
    </row>
    <row r="10918" spans="5:8" x14ac:dyDescent="0.25">
      <c r="E10918" s="34"/>
      <c r="G10918" s="34"/>
      <c r="H10918" s="4"/>
    </row>
    <row r="10919" spans="5:8" x14ac:dyDescent="0.25">
      <c r="E10919" s="34"/>
      <c r="G10919" s="34"/>
      <c r="H10919" s="4"/>
    </row>
    <row r="10920" spans="5:8" x14ac:dyDescent="0.25">
      <c r="E10920" s="34"/>
      <c r="G10920" s="34"/>
      <c r="H10920" s="4"/>
    </row>
    <row r="10921" spans="5:8" x14ac:dyDescent="0.25">
      <c r="E10921" s="34"/>
      <c r="G10921" s="34"/>
      <c r="H10921" s="4"/>
    </row>
    <row r="10922" spans="5:8" x14ac:dyDescent="0.25">
      <c r="E10922" s="34"/>
      <c r="G10922" s="34"/>
      <c r="H10922" s="4"/>
    </row>
    <row r="10923" spans="5:8" x14ac:dyDescent="0.25">
      <c r="E10923" s="34"/>
      <c r="G10923" s="34"/>
      <c r="H10923" s="4"/>
    </row>
    <row r="10924" spans="5:8" x14ac:dyDescent="0.25">
      <c r="E10924" s="34"/>
      <c r="G10924" s="34"/>
      <c r="H10924" s="4"/>
    </row>
    <row r="10925" spans="5:8" x14ac:dyDescent="0.25">
      <c r="E10925" s="34"/>
      <c r="G10925" s="34"/>
      <c r="H10925" s="4"/>
    </row>
    <row r="10926" spans="5:8" x14ac:dyDescent="0.25">
      <c r="E10926" s="34"/>
      <c r="G10926" s="34"/>
      <c r="H10926" s="4"/>
    </row>
    <row r="10927" spans="5:8" x14ac:dyDescent="0.25">
      <c r="E10927" s="34"/>
      <c r="G10927" s="34"/>
      <c r="H10927" s="4"/>
    </row>
    <row r="10928" spans="5:8" x14ac:dyDescent="0.25">
      <c r="E10928" s="34"/>
      <c r="G10928" s="34"/>
      <c r="H10928" s="4"/>
    </row>
    <row r="10929" spans="5:8" x14ac:dyDescent="0.25">
      <c r="E10929" s="34"/>
      <c r="G10929" s="34"/>
      <c r="H10929" s="4"/>
    </row>
    <row r="10930" spans="5:8" x14ac:dyDescent="0.25">
      <c r="E10930" s="34"/>
      <c r="G10930" s="34"/>
      <c r="H10930" s="4"/>
    </row>
    <row r="10931" spans="5:8" x14ac:dyDescent="0.25">
      <c r="E10931" s="34"/>
      <c r="G10931" s="34"/>
      <c r="H10931" s="4"/>
    </row>
    <row r="10932" spans="5:8" x14ac:dyDescent="0.25">
      <c r="E10932" s="34"/>
      <c r="G10932" s="34"/>
      <c r="H10932" s="4"/>
    </row>
    <row r="10933" spans="5:8" x14ac:dyDescent="0.25">
      <c r="E10933" s="34"/>
      <c r="G10933" s="34"/>
      <c r="H10933" s="4"/>
    </row>
    <row r="10934" spans="5:8" x14ac:dyDescent="0.25">
      <c r="E10934" s="34"/>
      <c r="G10934" s="34"/>
      <c r="H10934" s="4"/>
    </row>
    <row r="10935" spans="5:8" x14ac:dyDescent="0.25">
      <c r="E10935" s="34"/>
      <c r="G10935" s="34"/>
      <c r="H10935" s="4"/>
    </row>
    <row r="10936" spans="5:8" x14ac:dyDescent="0.25">
      <c r="E10936" s="34"/>
      <c r="G10936" s="34"/>
      <c r="H10936" s="4"/>
    </row>
    <row r="10937" spans="5:8" x14ac:dyDescent="0.25">
      <c r="E10937" s="34"/>
      <c r="G10937" s="34"/>
      <c r="H10937" s="4"/>
    </row>
    <row r="10938" spans="5:8" x14ac:dyDescent="0.25">
      <c r="E10938" s="34"/>
      <c r="G10938" s="34"/>
      <c r="H10938" s="4"/>
    </row>
    <row r="10939" spans="5:8" x14ac:dyDescent="0.25">
      <c r="E10939" s="34"/>
      <c r="G10939" s="34"/>
      <c r="H10939" s="4"/>
    </row>
    <row r="10940" spans="5:8" x14ac:dyDescent="0.25">
      <c r="E10940" s="34"/>
      <c r="G10940" s="34"/>
      <c r="H10940" s="4"/>
    </row>
    <row r="10941" spans="5:8" x14ac:dyDescent="0.25">
      <c r="E10941" s="34"/>
      <c r="G10941" s="34"/>
      <c r="H10941" s="4"/>
    </row>
    <row r="10942" spans="5:8" x14ac:dyDescent="0.25">
      <c r="E10942" s="34"/>
      <c r="G10942" s="34"/>
      <c r="H10942" s="4"/>
    </row>
    <row r="10943" spans="5:8" x14ac:dyDescent="0.25">
      <c r="E10943" s="34"/>
      <c r="G10943" s="34"/>
      <c r="H10943" s="4"/>
    </row>
    <row r="10944" spans="5:8" x14ac:dyDescent="0.25">
      <c r="E10944" s="34"/>
      <c r="G10944" s="34"/>
      <c r="H10944" s="4"/>
    </row>
    <row r="10945" spans="5:8" x14ac:dyDescent="0.25">
      <c r="E10945" s="34"/>
      <c r="G10945" s="34"/>
      <c r="H10945" s="4"/>
    </row>
    <row r="10946" spans="5:8" x14ac:dyDescent="0.25">
      <c r="E10946" s="34"/>
      <c r="G10946" s="34"/>
      <c r="H10946" s="4"/>
    </row>
    <row r="10947" spans="5:8" x14ac:dyDescent="0.25">
      <c r="E10947" s="34"/>
      <c r="G10947" s="34"/>
      <c r="H10947" s="4"/>
    </row>
    <row r="10948" spans="5:8" x14ac:dyDescent="0.25">
      <c r="E10948" s="34"/>
      <c r="G10948" s="34"/>
      <c r="H10948" s="4"/>
    </row>
    <row r="10949" spans="5:8" x14ac:dyDescent="0.25">
      <c r="E10949" s="34"/>
      <c r="G10949" s="34"/>
      <c r="H10949" s="4"/>
    </row>
    <row r="10950" spans="5:8" x14ac:dyDescent="0.25">
      <c r="E10950" s="34"/>
      <c r="G10950" s="34"/>
      <c r="H10950" s="4"/>
    </row>
    <row r="10951" spans="5:8" x14ac:dyDescent="0.25">
      <c r="E10951" s="34"/>
      <c r="G10951" s="34"/>
      <c r="H10951" s="4"/>
    </row>
    <row r="10952" spans="5:8" x14ac:dyDescent="0.25">
      <c r="E10952" s="34"/>
      <c r="G10952" s="34"/>
      <c r="H10952" s="4"/>
    </row>
    <row r="10953" spans="5:8" x14ac:dyDescent="0.25">
      <c r="E10953" s="34"/>
      <c r="G10953" s="34"/>
      <c r="H10953" s="4"/>
    </row>
    <row r="10954" spans="5:8" x14ac:dyDescent="0.25">
      <c r="E10954" s="34"/>
      <c r="G10954" s="34"/>
      <c r="H10954" s="4"/>
    </row>
    <row r="10955" spans="5:8" x14ac:dyDescent="0.25">
      <c r="E10955" s="34"/>
      <c r="G10955" s="34"/>
      <c r="H10955" s="4"/>
    </row>
    <row r="10956" spans="5:8" x14ac:dyDescent="0.25">
      <c r="E10956" s="34"/>
      <c r="G10956" s="34"/>
      <c r="H10956" s="4"/>
    </row>
    <row r="10957" spans="5:8" x14ac:dyDescent="0.25">
      <c r="E10957" s="34"/>
      <c r="G10957" s="34"/>
      <c r="H10957" s="4"/>
    </row>
    <row r="10958" spans="5:8" x14ac:dyDescent="0.25">
      <c r="E10958" s="34"/>
      <c r="G10958" s="34"/>
      <c r="H10958" s="4"/>
    </row>
    <row r="10959" spans="5:8" x14ac:dyDescent="0.25">
      <c r="E10959" s="34"/>
      <c r="G10959" s="34"/>
      <c r="H10959" s="4"/>
    </row>
    <row r="10960" spans="5:8" x14ac:dyDescent="0.25">
      <c r="E10960" s="34"/>
      <c r="G10960" s="34"/>
      <c r="H10960" s="4"/>
    </row>
    <row r="10961" spans="5:8" x14ac:dyDescent="0.25">
      <c r="E10961" s="34"/>
      <c r="G10961" s="34"/>
      <c r="H10961" s="4"/>
    </row>
    <row r="10962" spans="5:8" x14ac:dyDescent="0.25">
      <c r="E10962" s="34"/>
      <c r="G10962" s="34"/>
      <c r="H10962" s="4"/>
    </row>
    <row r="10963" spans="5:8" x14ac:dyDescent="0.25">
      <c r="E10963" s="34"/>
      <c r="G10963" s="34"/>
      <c r="H10963" s="4"/>
    </row>
    <row r="10964" spans="5:8" x14ac:dyDescent="0.25">
      <c r="E10964" s="34"/>
      <c r="G10964" s="34"/>
      <c r="H10964" s="4"/>
    </row>
    <row r="10965" spans="5:8" x14ac:dyDescent="0.25">
      <c r="E10965" s="34"/>
      <c r="G10965" s="34"/>
      <c r="H10965" s="4"/>
    </row>
    <row r="10966" spans="5:8" x14ac:dyDescent="0.25">
      <c r="E10966" s="34"/>
      <c r="G10966" s="34"/>
      <c r="H10966" s="4"/>
    </row>
    <row r="10967" spans="5:8" x14ac:dyDescent="0.25">
      <c r="E10967" s="34"/>
      <c r="G10967" s="34"/>
      <c r="H10967" s="4"/>
    </row>
    <row r="10968" spans="5:8" x14ac:dyDescent="0.25">
      <c r="E10968" s="34"/>
      <c r="G10968" s="34"/>
      <c r="H10968" s="4"/>
    </row>
    <row r="10969" spans="5:8" x14ac:dyDescent="0.25">
      <c r="E10969" s="34"/>
      <c r="G10969" s="34"/>
      <c r="H10969" s="4"/>
    </row>
    <row r="10970" spans="5:8" x14ac:dyDescent="0.25">
      <c r="E10970" s="34"/>
      <c r="G10970" s="34"/>
      <c r="H10970" s="4"/>
    </row>
    <row r="10971" spans="5:8" x14ac:dyDescent="0.25">
      <c r="E10971" s="34"/>
      <c r="G10971" s="34"/>
      <c r="H10971" s="4"/>
    </row>
    <row r="10972" spans="5:8" x14ac:dyDescent="0.25">
      <c r="E10972" s="34"/>
      <c r="G10972" s="34"/>
      <c r="H10972" s="4"/>
    </row>
    <row r="10973" spans="5:8" x14ac:dyDescent="0.25">
      <c r="E10973" s="34"/>
      <c r="G10973" s="34"/>
      <c r="H10973" s="4"/>
    </row>
    <row r="10974" spans="5:8" x14ac:dyDescent="0.25">
      <c r="E10974" s="34"/>
      <c r="G10974" s="34"/>
      <c r="H10974" s="4"/>
    </row>
    <row r="10975" spans="5:8" x14ac:dyDescent="0.25">
      <c r="E10975" s="34"/>
      <c r="G10975" s="34"/>
      <c r="H10975" s="4"/>
    </row>
    <row r="10976" spans="5:8" x14ac:dyDescent="0.25">
      <c r="E10976" s="34"/>
      <c r="G10976" s="34"/>
      <c r="H10976" s="4"/>
    </row>
    <row r="10977" spans="5:8" x14ac:dyDescent="0.25">
      <c r="E10977" s="34"/>
      <c r="G10977" s="34"/>
      <c r="H10977" s="4"/>
    </row>
    <row r="10978" spans="5:8" x14ac:dyDescent="0.25">
      <c r="E10978" s="34"/>
      <c r="G10978" s="34"/>
      <c r="H10978" s="4"/>
    </row>
    <row r="10979" spans="5:8" x14ac:dyDescent="0.25">
      <c r="E10979" s="34"/>
      <c r="G10979" s="34"/>
      <c r="H10979" s="4"/>
    </row>
    <row r="10980" spans="5:8" x14ac:dyDescent="0.25">
      <c r="E10980" s="34"/>
      <c r="G10980" s="34"/>
      <c r="H10980" s="4"/>
    </row>
    <row r="10981" spans="5:8" x14ac:dyDescent="0.25">
      <c r="E10981" s="34"/>
      <c r="G10981" s="34"/>
      <c r="H10981" s="4"/>
    </row>
    <row r="10982" spans="5:8" x14ac:dyDescent="0.25">
      <c r="E10982" s="34"/>
      <c r="G10982" s="34"/>
      <c r="H10982" s="4"/>
    </row>
    <row r="10983" spans="5:8" x14ac:dyDescent="0.25">
      <c r="E10983" s="34"/>
      <c r="G10983" s="34"/>
      <c r="H10983" s="4"/>
    </row>
    <row r="10984" spans="5:8" x14ac:dyDescent="0.25">
      <c r="E10984" s="34"/>
      <c r="G10984" s="34"/>
      <c r="H10984" s="4"/>
    </row>
    <row r="10985" spans="5:8" x14ac:dyDescent="0.25">
      <c r="E10985" s="34"/>
      <c r="G10985" s="34"/>
      <c r="H10985" s="4"/>
    </row>
    <row r="10986" spans="5:8" x14ac:dyDescent="0.25">
      <c r="E10986" s="34"/>
      <c r="G10986" s="34"/>
      <c r="H10986" s="4"/>
    </row>
    <row r="10987" spans="5:8" x14ac:dyDescent="0.25">
      <c r="E10987" s="34"/>
      <c r="G10987" s="34"/>
      <c r="H10987" s="4"/>
    </row>
    <row r="10988" spans="5:8" x14ac:dyDescent="0.25">
      <c r="E10988" s="34"/>
      <c r="G10988" s="34"/>
      <c r="H10988" s="4"/>
    </row>
    <row r="10989" spans="5:8" x14ac:dyDescent="0.25">
      <c r="E10989" s="34"/>
      <c r="G10989" s="34"/>
      <c r="H10989" s="4"/>
    </row>
    <row r="10990" spans="5:8" x14ac:dyDescent="0.25">
      <c r="E10990" s="34"/>
      <c r="G10990" s="34"/>
      <c r="H10990" s="4"/>
    </row>
    <row r="10991" spans="5:8" x14ac:dyDescent="0.25">
      <c r="E10991" s="34"/>
      <c r="G10991" s="34"/>
      <c r="H10991" s="4"/>
    </row>
    <row r="10992" spans="5:8" x14ac:dyDescent="0.25">
      <c r="E10992" s="34"/>
      <c r="G10992" s="34"/>
      <c r="H10992" s="4"/>
    </row>
    <row r="10993" spans="5:8" x14ac:dyDescent="0.25">
      <c r="E10993" s="34"/>
      <c r="G10993" s="34"/>
      <c r="H10993" s="4"/>
    </row>
    <row r="10994" spans="5:8" x14ac:dyDescent="0.25">
      <c r="E10994" s="34"/>
      <c r="G10994" s="34"/>
      <c r="H10994" s="4"/>
    </row>
    <row r="10995" spans="5:8" x14ac:dyDescent="0.25">
      <c r="E10995" s="34"/>
      <c r="G10995" s="34"/>
      <c r="H10995" s="4"/>
    </row>
    <row r="10996" spans="5:8" x14ac:dyDescent="0.25">
      <c r="E10996" s="34"/>
      <c r="G10996" s="34"/>
      <c r="H10996" s="4"/>
    </row>
    <row r="10997" spans="5:8" x14ac:dyDescent="0.25">
      <c r="E10997" s="34"/>
      <c r="G10997" s="34"/>
      <c r="H10997" s="4"/>
    </row>
    <row r="10998" spans="5:8" x14ac:dyDescent="0.25">
      <c r="E10998" s="34"/>
      <c r="G10998" s="34"/>
      <c r="H10998" s="4"/>
    </row>
    <row r="10999" spans="5:8" x14ac:dyDescent="0.25">
      <c r="E10999" s="34"/>
      <c r="G10999" s="34"/>
      <c r="H10999" s="4"/>
    </row>
    <row r="11000" spans="5:8" x14ac:dyDescent="0.25">
      <c r="E11000" s="34"/>
      <c r="G11000" s="34"/>
      <c r="H11000" s="4"/>
    </row>
    <row r="11001" spans="5:8" x14ac:dyDescent="0.25">
      <c r="E11001" s="34"/>
      <c r="G11001" s="34"/>
      <c r="H11001" s="4"/>
    </row>
    <row r="11002" spans="5:8" x14ac:dyDescent="0.25">
      <c r="E11002" s="34"/>
      <c r="G11002" s="34"/>
      <c r="H11002" s="4"/>
    </row>
    <row r="11003" spans="5:8" x14ac:dyDescent="0.25">
      <c r="E11003" s="34"/>
      <c r="G11003" s="34"/>
      <c r="H11003" s="4"/>
    </row>
    <row r="11004" spans="5:8" x14ac:dyDescent="0.25">
      <c r="E11004" s="34"/>
      <c r="G11004" s="34"/>
      <c r="H11004" s="4"/>
    </row>
    <row r="11005" spans="5:8" x14ac:dyDescent="0.25">
      <c r="E11005" s="34"/>
      <c r="G11005" s="34"/>
      <c r="H11005" s="4"/>
    </row>
    <row r="11006" spans="5:8" x14ac:dyDescent="0.25">
      <c r="E11006" s="34"/>
      <c r="G11006" s="34"/>
      <c r="H11006" s="4"/>
    </row>
    <row r="11007" spans="5:8" x14ac:dyDescent="0.25">
      <c r="E11007" s="34"/>
      <c r="G11007" s="34"/>
      <c r="H11007" s="4"/>
    </row>
    <row r="11008" spans="5:8" x14ac:dyDescent="0.25">
      <c r="E11008" s="34"/>
      <c r="G11008" s="34"/>
      <c r="H11008" s="4"/>
    </row>
    <row r="11009" spans="5:8" x14ac:dyDescent="0.25">
      <c r="E11009" s="34"/>
      <c r="G11009" s="34"/>
      <c r="H11009" s="4"/>
    </row>
    <row r="11010" spans="5:8" x14ac:dyDescent="0.25">
      <c r="E11010" s="34"/>
      <c r="G11010" s="34"/>
      <c r="H11010" s="4"/>
    </row>
    <row r="11011" spans="5:8" x14ac:dyDescent="0.25">
      <c r="E11011" s="34"/>
      <c r="G11011" s="34"/>
      <c r="H11011" s="4"/>
    </row>
    <row r="11012" spans="5:8" x14ac:dyDescent="0.25">
      <c r="E11012" s="34"/>
      <c r="G11012" s="34"/>
      <c r="H11012" s="4"/>
    </row>
    <row r="11013" spans="5:8" x14ac:dyDescent="0.25">
      <c r="E11013" s="34"/>
      <c r="G11013" s="34"/>
      <c r="H11013" s="4"/>
    </row>
    <row r="11014" spans="5:8" x14ac:dyDescent="0.25">
      <c r="E11014" s="34"/>
      <c r="G11014" s="34"/>
      <c r="H11014" s="4"/>
    </row>
    <row r="11015" spans="5:8" x14ac:dyDescent="0.25">
      <c r="E11015" s="34"/>
      <c r="G11015" s="34"/>
      <c r="H11015" s="4"/>
    </row>
    <row r="11016" spans="5:8" x14ac:dyDescent="0.25">
      <c r="E11016" s="34"/>
      <c r="G11016" s="34"/>
      <c r="H11016" s="4"/>
    </row>
    <row r="11017" spans="5:8" x14ac:dyDescent="0.25">
      <c r="E11017" s="34"/>
      <c r="G11017" s="34"/>
      <c r="H11017" s="4"/>
    </row>
    <row r="11018" spans="5:8" x14ac:dyDescent="0.25">
      <c r="E11018" s="34"/>
      <c r="G11018" s="34"/>
      <c r="H11018" s="4"/>
    </row>
    <row r="11019" spans="5:8" x14ac:dyDescent="0.25">
      <c r="E11019" s="34"/>
      <c r="G11019" s="34"/>
      <c r="H11019" s="4"/>
    </row>
    <row r="11020" spans="5:8" x14ac:dyDescent="0.25">
      <c r="E11020" s="34"/>
      <c r="G11020" s="34"/>
      <c r="H11020" s="4"/>
    </row>
    <row r="11021" spans="5:8" x14ac:dyDescent="0.25">
      <c r="E11021" s="34"/>
      <c r="G11021" s="34"/>
      <c r="H11021" s="4"/>
    </row>
    <row r="11022" spans="5:8" x14ac:dyDescent="0.25">
      <c r="E11022" s="34"/>
      <c r="G11022" s="34"/>
      <c r="H11022" s="4"/>
    </row>
    <row r="11023" spans="5:8" x14ac:dyDescent="0.25">
      <c r="E11023" s="34"/>
      <c r="G11023" s="34"/>
      <c r="H11023" s="4"/>
    </row>
    <row r="11024" spans="5:8" x14ac:dyDescent="0.25">
      <c r="E11024" s="34"/>
      <c r="G11024" s="34"/>
      <c r="H11024" s="4"/>
    </row>
    <row r="11025" spans="5:8" x14ac:dyDescent="0.25">
      <c r="E11025" s="34"/>
      <c r="G11025" s="34"/>
      <c r="H11025" s="4"/>
    </row>
    <row r="11026" spans="5:8" x14ac:dyDescent="0.25">
      <c r="E11026" s="34"/>
      <c r="G11026" s="34"/>
      <c r="H11026" s="4"/>
    </row>
    <row r="11027" spans="5:8" x14ac:dyDescent="0.25">
      <c r="E11027" s="34"/>
      <c r="G11027" s="34"/>
      <c r="H11027" s="4"/>
    </row>
    <row r="11028" spans="5:8" x14ac:dyDescent="0.25">
      <c r="E11028" s="34"/>
      <c r="G11028" s="34"/>
      <c r="H11028" s="4"/>
    </row>
    <row r="11029" spans="5:8" x14ac:dyDescent="0.25">
      <c r="E11029" s="34"/>
      <c r="G11029" s="34"/>
      <c r="H11029" s="4"/>
    </row>
    <row r="11030" spans="5:8" x14ac:dyDescent="0.25">
      <c r="E11030" s="34"/>
      <c r="G11030" s="34"/>
      <c r="H11030" s="4"/>
    </row>
    <row r="11031" spans="5:8" x14ac:dyDescent="0.25">
      <c r="E11031" s="34"/>
      <c r="G11031" s="34"/>
      <c r="H11031" s="4"/>
    </row>
    <row r="11032" spans="5:8" x14ac:dyDescent="0.25">
      <c r="E11032" s="34"/>
      <c r="G11032" s="34"/>
      <c r="H11032" s="4"/>
    </row>
    <row r="11033" spans="5:8" x14ac:dyDescent="0.25">
      <c r="E11033" s="34"/>
      <c r="G11033" s="34"/>
      <c r="H11033" s="4"/>
    </row>
    <row r="11034" spans="5:8" x14ac:dyDescent="0.25">
      <c r="E11034" s="34"/>
      <c r="G11034" s="34"/>
      <c r="H11034" s="4"/>
    </row>
    <row r="11035" spans="5:8" x14ac:dyDescent="0.25">
      <c r="E11035" s="34"/>
      <c r="G11035" s="34"/>
      <c r="H11035" s="4"/>
    </row>
    <row r="11036" spans="5:8" x14ac:dyDescent="0.25">
      <c r="E11036" s="34"/>
      <c r="G11036" s="34"/>
      <c r="H11036" s="4"/>
    </row>
    <row r="11037" spans="5:8" x14ac:dyDescent="0.25">
      <c r="E11037" s="34"/>
      <c r="G11037" s="34"/>
      <c r="H11037" s="4"/>
    </row>
    <row r="11038" spans="5:8" x14ac:dyDescent="0.25">
      <c r="E11038" s="34"/>
      <c r="G11038" s="34"/>
      <c r="H11038" s="4"/>
    </row>
    <row r="11039" spans="5:8" x14ac:dyDescent="0.25">
      <c r="E11039" s="34"/>
      <c r="G11039" s="34"/>
      <c r="H11039" s="4"/>
    </row>
    <row r="11040" spans="5:8" x14ac:dyDescent="0.25">
      <c r="E11040" s="34"/>
      <c r="G11040" s="34"/>
      <c r="H11040" s="4"/>
    </row>
    <row r="11041" spans="5:8" x14ac:dyDescent="0.25">
      <c r="E11041" s="34"/>
      <c r="G11041" s="34"/>
      <c r="H11041" s="4"/>
    </row>
    <row r="11042" spans="5:8" x14ac:dyDescent="0.25">
      <c r="E11042" s="34"/>
      <c r="G11042" s="34"/>
      <c r="H11042" s="4"/>
    </row>
    <row r="11043" spans="5:8" x14ac:dyDescent="0.25">
      <c r="E11043" s="34"/>
      <c r="G11043" s="34"/>
      <c r="H11043" s="4"/>
    </row>
    <row r="11044" spans="5:8" x14ac:dyDescent="0.25">
      <c r="E11044" s="34"/>
      <c r="G11044" s="34"/>
      <c r="H11044" s="4"/>
    </row>
    <row r="11045" spans="5:8" x14ac:dyDescent="0.25">
      <c r="E11045" s="34"/>
      <c r="G11045" s="34"/>
      <c r="H11045" s="4"/>
    </row>
    <row r="11046" spans="5:8" x14ac:dyDescent="0.25">
      <c r="E11046" s="34"/>
      <c r="G11046" s="34"/>
      <c r="H11046" s="4"/>
    </row>
    <row r="11047" spans="5:8" x14ac:dyDescent="0.25">
      <c r="E11047" s="34"/>
      <c r="G11047" s="34"/>
      <c r="H11047" s="4"/>
    </row>
    <row r="11048" spans="5:8" x14ac:dyDescent="0.25">
      <c r="E11048" s="34"/>
      <c r="G11048" s="34"/>
      <c r="H11048" s="4"/>
    </row>
    <row r="11049" spans="5:8" x14ac:dyDescent="0.25">
      <c r="E11049" s="34"/>
      <c r="G11049" s="34"/>
      <c r="H11049" s="4"/>
    </row>
    <row r="11050" spans="5:8" x14ac:dyDescent="0.25">
      <c r="E11050" s="34"/>
      <c r="G11050" s="34"/>
      <c r="H11050" s="4"/>
    </row>
    <row r="11051" spans="5:8" x14ac:dyDescent="0.25">
      <c r="E11051" s="34"/>
      <c r="G11051" s="34"/>
      <c r="H11051" s="4"/>
    </row>
    <row r="11052" spans="5:8" x14ac:dyDescent="0.25">
      <c r="E11052" s="34"/>
      <c r="G11052" s="34"/>
      <c r="H11052" s="4"/>
    </row>
    <row r="11053" spans="5:8" x14ac:dyDescent="0.25">
      <c r="E11053" s="34"/>
      <c r="G11053" s="34"/>
      <c r="H11053" s="4"/>
    </row>
    <row r="11054" spans="5:8" x14ac:dyDescent="0.25">
      <c r="E11054" s="34"/>
      <c r="G11054" s="34"/>
      <c r="H11054" s="4"/>
    </row>
    <row r="11055" spans="5:8" x14ac:dyDescent="0.25">
      <c r="E11055" s="34"/>
      <c r="G11055" s="34"/>
      <c r="H11055" s="4"/>
    </row>
    <row r="11056" spans="5:8" x14ac:dyDescent="0.25">
      <c r="E11056" s="34"/>
      <c r="G11056" s="34"/>
      <c r="H11056" s="4"/>
    </row>
    <row r="11057" spans="5:8" x14ac:dyDescent="0.25">
      <c r="E11057" s="34"/>
      <c r="G11057" s="34"/>
      <c r="H11057" s="4"/>
    </row>
    <row r="11058" spans="5:8" x14ac:dyDescent="0.25">
      <c r="E11058" s="34"/>
      <c r="G11058" s="34"/>
      <c r="H11058" s="4"/>
    </row>
    <row r="11059" spans="5:8" x14ac:dyDescent="0.25">
      <c r="E11059" s="34"/>
      <c r="G11059" s="34"/>
      <c r="H11059" s="4"/>
    </row>
    <row r="11060" spans="5:8" x14ac:dyDescent="0.25">
      <c r="E11060" s="34"/>
      <c r="G11060" s="34"/>
      <c r="H11060" s="4"/>
    </row>
    <row r="11061" spans="5:8" x14ac:dyDescent="0.25">
      <c r="E11061" s="34"/>
      <c r="G11061" s="34"/>
      <c r="H11061" s="4"/>
    </row>
    <row r="11062" spans="5:8" x14ac:dyDescent="0.25">
      <c r="E11062" s="34"/>
      <c r="G11062" s="34"/>
      <c r="H11062" s="4"/>
    </row>
    <row r="11063" spans="5:8" x14ac:dyDescent="0.25">
      <c r="E11063" s="34"/>
      <c r="G11063" s="34"/>
      <c r="H11063" s="4"/>
    </row>
    <row r="11064" spans="5:8" x14ac:dyDescent="0.25">
      <c r="E11064" s="34"/>
      <c r="G11064" s="34"/>
      <c r="H11064" s="4"/>
    </row>
    <row r="11065" spans="5:8" x14ac:dyDescent="0.25">
      <c r="E11065" s="34"/>
      <c r="G11065" s="34"/>
      <c r="H11065" s="4"/>
    </row>
    <row r="11066" spans="5:8" x14ac:dyDescent="0.25">
      <c r="E11066" s="34"/>
      <c r="G11066" s="34"/>
      <c r="H11066" s="4"/>
    </row>
    <row r="11067" spans="5:8" x14ac:dyDescent="0.25">
      <c r="E11067" s="34"/>
      <c r="G11067" s="34"/>
      <c r="H11067" s="4"/>
    </row>
    <row r="11068" spans="5:8" x14ac:dyDescent="0.25">
      <c r="E11068" s="34"/>
      <c r="G11068" s="34"/>
      <c r="H11068" s="4"/>
    </row>
    <row r="11069" spans="5:8" x14ac:dyDescent="0.25">
      <c r="E11069" s="34"/>
      <c r="G11069" s="34"/>
      <c r="H11069" s="4"/>
    </row>
    <row r="11070" spans="5:8" x14ac:dyDescent="0.25">
      <c r="E11070" s="34"/>
      <c r="G11070" s="34"/>
      <c r="H11070" s="4"/>
    </row>
    <row r="11071" spans="5:8" x14ac:dyDescent="0.25">
      <c r="E11071" s="34"/>
      <c r="G11071" s="34"/>
      <c r="H11071" s="4"/>
    </row>
    <row r="11072" spans="5:8" x14ac:dyDescent="0.25">
      <c r="E11072" s="34"/>
      <c r="G11072" s="34"/>
      <c r="H11072" s="4"/>
    </row>
    <row r="11073" spans="5:8" x14ac:dyDescent="0.25">
      <c r="E11073" s="34"/>
      <c r="G11073" s="34"/>
      <c r="H11073" s="4"/>
    </row>
    <row r="11074" spans="5:8" x14ac:dyDescent="0.25">
      <c r="E11074" s="34"/>
      <c r="G11074" s="34"/>
      <c r="H11074" s="4"/>
    </row>
    <row r="11075" spans="5:8" x14ac:dyDescent="0.25">
      <c r="E11075" s="34"/>
      <c r="G11075" s="34"/>
      <c r="H11075" s="4"/>
    </row>
    <row r="11076" spans="5:8" x14ac:dyDescent="0.25">
      <c r="E11076" s="34"/>
      <c r="G11076" s="34"/>
      <c r="H11076" s="4"/>
    </row>
    <row r="11077" spans="5:8" x14ac:dyDescent="0.25">
      <c r="E11077" s="34"/>
      <c r="G11077" s="34"/>
      <c r="H11077" s="4"/>
    </row>
    <row r="11078" spans="5:8" x14ac:dyDescent="0.25">
      <c r="E11078" s="34"/>
      <c r="G11078" s="34"/>
      <c r="H11078" s="4"/>
    </row>
    <row r="11079" spans="5:8" x14ac:dyDescent="0.25">
      <c r="E11079" s="34"/>
      <c r="G11079" s="34"/>
      <c r="H11079" s="4"/>
    </row>
    <row r="11080" spans="5:8" x14ac:dyDescent="0.25">
      <c r="E11080" s="34"/>
      <c r="G11080" s="34"/>
      <c r="H11080" s="4"/>
    </row>
    <row r="11081" spans="5:8" x14ac:dyDescent="0.25">
      <c r="E11081" s="34"/>
      <c r="G11081" s="34"/>
      <c r="H11081" s="4"/>
    </row>
    <row r="11082" spans="5:8" x14ac:dyDescent="0.25">
      <c r="E11082" s="34"/>
      <c r="G11082" s="34"/>
      <c r="H11082" s="4"/>
    </row>
    <row r="11083" spans="5:8" x14ac:dyDescent="0.25">
      <c r="E11083" s="34"/>
      <c r="G11083" s="34"/>
      <c r="H11083" s="4"/>
    </row>
    <row r="11084" spans="5:8" x14ac:dyDescent="0.25">
      <c r="E11084" s="34"/>
      <c r="G11084" s="34"/>
      <c r="H11084" s="4"/>
    </row>
    <row r="11085" spans="5:8" x14ac:dyDescent="0.25">
      <c r="E11085" s="34"/>
      <c r="G11085" s="34"/>
      <c r="H11085" s="4"/>
    </row>
    <row r="11086" spans="5:8" x14ac:dyDescent="0.25">
      <c r="E11086" s="34"/>
      <c r="G11086" s="34"/>
      <c r="H11086" s="4"/>
    </row>
    <row r="11087" spans="5:8" x14ac:dyDescent="0.25">
      <c r="E11087" s="34"/>
      <c r="G11087" s="34"/>
      <c r="H11087" s="4"/>
    </row>
    <row r="11088" spans="5:8" x14ac:dyDescent="0.25">
      <c r="E11088" s="34"/>
      <c r="G11088" s="34"/>
      <c r="H11088" s="4"/>
    </row>
    <row r="11089" spans="5:8" x14ac:dyDescent="0.25">
      <c r="E11089" s="34"/>
      <c r="G11089" s="34"/>
      <c r="H11089" s="4"/>
    </row>
    <row r="11090" spans="5:8" x14ac:dyDescent="0.25">
      <c r="E11090" s="34"/>
      <c r="G11090" s="34"/>
      <c r="H11090" s="4"/>
    </row>
    <row r="11091" spans="5:8" x14ac:dyDescent="0.25">
      <c r="E11091" s="34"/>
      <c r="G11091" s="34"/>
      <c r="H11091" s="4"/>
    </row>
    <row r="11092" spans="5:8" x14ac:dyDescent="0.25">
      <c r="E11092" s="34"/>
      <c r="G11092" s="34"/>
      <c r="H11092" s="4"/>
    </row>
    <row r="11093" spans="5:8" x14ac:dyDescent="0.25">
      <c r="E11093" s="34"/>
      <c r="G11093" s="34"/>
      <c r="H11093" s="4"/>
    </row>
    <row r="11094" spans="5:8" x14ac:dyDescent="0.25">
      <c r="E11094" s="34"/>
      <c r="G11094" s="34"/>
      <c r="H11094" s="4"/>
    </row>
    <row r="11095" spans="5:8" x14ac:dyDescent="0.25">
      <c r="E11095" s="34"/>
      <c r="G11095" s="34"/>
      <c r="H11095" s="4"/>
    </row>
    <row r="11096" spans="5:8" x14ac:dyDescent="0.25">
      <c r="E11096" s="34"/>
      <c r="G11096" s="34"/>
      <c r="H11096" s="4"/>
    </row>
    <row r="11097" spans="5:8" x14ac:dyDescent="0.25">
      <c r="E11097" s="34"/>
      <c r="G11097" s="34"/>
      <c r="H11097" s="4"/>
    </row>
    <row r="11098" spans="5:8" x14ac:dyDescent="0.25">
      <c r="E11098" s="34"/>
      <c r="G11098" s="34"/>
      <c r="H11098" s="4"/>
    </row>
    <row r="11099" spans="5:8" x14ac:dyDescent="0.25">
      <c r="E11099" s="34"/>
      <c r="G11099" s="34"/>
      <c r="H11099" s="4"/>
    </row>
    <row r="11100" spans="5:8" x14ac:dyDescent="0.25">
      <c r="E11100" s="34"/>
      <c r="G11100" s="34"/>
      <c r="H11100" s="4"/>
    </row>
    <row r="11101" spans="5:8" x14ac:dyDescent="0.25">
      <c r="E11101" s="34"/>
      <c r="G11101" s="34"/>
      <c r="H11101" s="4"/>
    </row>
    <row r="11102" spans="5:8" x14ac:dyDescent="0.25">
      <c r="E11102" s="34"/>
      <c r="G11102" s="34"/>
      <c r="H11102" s="4"/>
    </row>
    <row r="11103" spans="5:8" x14ac:dyDescent="0.25">
      <c r="E11103" s="34"/>
      <c r="G11103" s="34"/>
      <c r="H11103" s="4"/>
    </row>
    <row r="11104" spans="5:8" x14ac:dyDescent="0.25">
      <c r="E11104" s="34"/>
      <c r="G11104" s="34"/>
      <c r="H11104" s="4"/>
    </row>
    <row r="11105" spans="5:8" x14ac:dyDescent="0.25">
      <c r="E11105" s="34"/>
      <c r="G11105" s="34"/>
      <c r="H11105" s="4"/>
    </row>
    <row r="11106" spans="5:8" x14ac:dyDescent="0.25">
      <c r="E11106" s="34"/>
      <c r="G11106" s="34"/>
      <c r="H11106" s="4"/>
    </row>
    <row r="11107" spans="5:8" x14ac:dyDescent="0.25">
      <c r="E11107" s="34"/>
      <c r="G11107" s="34"/>
      <c r="H11107" s="4"/>
    </row>
    <row r="11108" spans="5:8" x14ac:dyDescent="0.25">
      <c r="E11108" s="34"/>
      <c r="G11108" s="34"/>
      <c r="H11108" s="4"/>
    </row>
    <row r="11109" spans="5:8" x14ac:dyDescent="0.25">
      <c r="E11109" s="34"/>
      <c r="G11109" s="34"/>
      <c r="H11109" s="4"/>
    </row>
    <row r="11110" spans="5:8" x14ac:dyDescent="0.25">
      <c r="E11110" s="34"/>
      <c r="G11110" s="34"/>
      <c r="H11110" s="4"/>
    </row>
    <row r="11111" spans="5:8" x14ac:dyDescent="0.25">
      <c r="E11111" s="34"/>
      <c r="G11111" s="34"/>
      <c r="H11111" s="4"/>
    </row>
    <row r="11112" spans="5:8" x14ac:dyDescent="0.25">
      <c r="E11112" s="34"/>
      <c r="G11112" s="34"/>
      <c r="H11112" s="4"/>
    </row>
    <row r="11113" spans="5:8" x14ac:dyDescent="0.25">
      <c r="E11113" s="34"/>
      <c r="G11113" s="34"/>
      <c r="H11113" s="4"/>
    </row>
    <row r="11114" spans="5:8" x14ac:dyDescent="0.25">
      <c r="E11114" s="34"/>
      <c r="G11114" s="34"/>
      <c r="H11114" s="4"/>
    </row>
    <row r="11115" spans="5:8" x14ac:dyDescent="0.25">
      <c r="E11115" s="34"/>
      <c r="G11115" s="34"/>
      <c r="H11115" s="4"/>
    </row>
    <row r="11116" spans="5:8" x14ac:dyDescent="0.25">
      <c r="E11116" s="34"/>
      <c r="G11116" s="34"/>
      <c r="H11116" s="4"/>
    </row>
    <row r="11117" spans="5:8" x14ac:dyDescent="0.25">
      <c r="E11117" s="34"/>
      <c r="G11117" s="34"/>
      <c r="H11117" s="4"/>
    </row>
    <row r="11118" spans="5:8" x14ac:dyDescent="0.25">
      <c r="E11118" s="34"/>
      <c r="G11118" s="34"/>
      <c r="H11118" s="4"/>
    </row>
    <row r="11119" spans="5:8" x14ac:dyDescent="0.25">
      <c r="E11119" s="34"/>
      <c r="G11119" s="34"/>
      <c r="H11119" s="4"/>
    </row>
    <row r="11120" spans="5:8" x14ac:dyDescent="0.25">
      <c r="E11120" s="34"/>
      <c r="G11120" s="34"/>
      <c r="H11120" s="4"/>
    </row>
    <row r="11121" spans="5:8" x14ac:dyDescent="0.25">
      <c r="E11121" s="34"/>
      <c r="G11121" s="34"/>
      <c r="H11121" s="4"/>
    </row>
    <row r="11122" spans="5:8" x14ac:dyDescent="0.25">
      <c r="E11122" s="34"/>
      <c r="G11122" s="34"/>
      <c r="H11122" s="4"/>
    </row>
    <row r="11123" spans="5:8" x14ac:dyDescent="0.25">
      <c r="E11123" s="34"/>
      <c r="G11123" s="34"/>
      <c r="H11123" s="4"/>
    </row>
    <row r="11124" spans="5:8" x14ac:dyDescent="0.25">
      <c r="E11124" s="34"/>
      <c r="G11124" s="34"/>
      <c r="H11124" s="4"/>
    </row>
    <row r="11125" spans="5:8" x14ac:dyDescent="0.25">
      <c r="E11125" s="34"/>
      <c r="G11125" s="34"/>
      <c r="H11125" s="4"/>
    </row>
    <row r="11126" spans="5:8" x14ac:dyDescent="0.25">
      <c r="E11126" s="34"/>
      <c r="G11126" s="34"/>
      <c r="H11126" s="4"/>
    </row>
    <row r="11127" spans="5:8" x14ac:dyDescent="0.25">
      <c r="E11127" s="34"/>
      <c r="G11127" s="34"/>
      <c r="H11127" s="4"/>
    </row>
    <row r="11128" spans="5:8" x14ac:dyDescent="0.25">
      <c r="E11128" s="34"/>
      <c r="G11128" s="34"/>
      <c r="H11128" s="4"/>
    </row>
    <row r="11129" spans="5:8" x14ac:dyDescent="0.25">
      <c r="E11129" s="34"/>
      <c r="G11129" s="34"/>
      <c r="H11129" s="4"/>
    </row>
    <row r="11130" spans="5:8" x14ac:dyDescent="0.25">
      <c r="E11130" s="34"/>
      <c r="G11130" s="34"/>
      <c r="H11130" s="4"/>
    </row>
    <row r="11131" spans="5:8" x14ac:dyDescent="0.25">
      <c r="E11131" s="34"/>
      <c r="G11131" s="34"/>
      <c r="H11131" s="4"/>
    </row>
    <row r="11132" spans="5:8" x14ac:dyDescent="0.25">
      <c r="E11132" s="34"/>
      <c r="G11132" s="34"/>
      <c r="H11132" s="4"/>
    </row>
    <row r="11133" spans="5:8" x14ac:dyDescent="0.25">
      <c r="E11133" s="34"/>
      <c r="G11133" s="34"/>
      <c r="H11133" s="4"/>
    </row>
    <row r="11134" spans="5:8" x14ac:dyDescent="0.25">
      <c r="E11134" s="34"/>
      <c r="G11134" s="34"/>
      <c r="H11134" s="4"/>
    </row>
    <row r="11135" spans="5:8" x14ac:dyDescent="0.25">
      <c r="E11135" s="34"/>
      <c r="G11135" s="34"/>
      <c r="H11135" s="4"/>
    </row>
    <row r="11136" spans="5:8" x14ac:dyDescent="0.25">
      <c r="E11136" s="34"/>
      <c r="G11136" s="34"/>
      <c r="H11136" s="4"/>
    </row>
    <row r="11137" spans="5:8" x14ac:dyDescent="0.25">
      <c r="E11137" s="34"/>
      <c r="G11137" s="34"/>
      <c r="H11137" s="4"/>
    </row>
    <row r="11138" spans="5:8" x14ac:dyDescent="0.25">
      <c r="E11138" s="34"/>
      <c r="G11138" s="34"/>
      <c r="H11138" s="4"/>
    </row>
    <row r="11139" spans="5:8" x14ac:dyDescent="0.25">
      <c r="E11139" s="34"/>
      <c r="G11139" s="34"/>
      <c r="H11139" s="4"/>
    </row>
    <row r="11140" spans="5:8" x14ac:dyDescent="0.25">
      <c r="E11140" s="34"/>
      <c r="G11140" s="34"/>
      <c r="H11140" s="4"/>
    </row>
    <row r="11141" spans="5:8" x14ac:dyDescent="0.25">
      <c r="E11141" s="34"/>
      <c r="G11141" s="34"/>
      <c r="H11141" s="4"/>
    </row>
    <row r="11142" spans="5:8" x14ac:dyDescent="0.25">
      <c r="E11142" s="34"/>
      <c r="G11142" s="34"/>
      <c r="H11142" s="4"/>
    </row>
    <row r="11143" spans="5:8" x14ac:dyDescent="0.25">
      <c r="E11143" s="34"/>
      <c r="G11143" s="34"/>
      <c r="H11143" s="4"/>
    </row>
    <row r="11144" spans="5:8" x14ac:dyDescent="0.25">
      <c r="E11144" s="34"/>
      <c r="G11144" s="34"/>
      <c r="H11144" s="4"/>
    </row>
    <row r="11145" spans="5:8" x14ac:dyDescent="0.25">
      <c r="E11145" s="34"/>
      <c r="G11145" s="34"/>
      <c r="H11145" s="4"/>
    </row>
    <row r="11146" spans="5:8" x14ac:dyDescent="0.25">
      <c r="E11146" s="34"/>
      <c r="G11146" s="34"/>
      <c r="H11146" s="4"/>
    </row>
    <row r="11147" spans="5:8" x14ac:dyDescent="0.25">
      <c r="E11147" s="34"/>
      <c r="G11147" s="34"/>
      <c r="H11147" s="4"/>
    </row>
    <row r="11148" spans="5:8" x14ac:dyDescent="0.25">
      <c r="E11148" s="34"/>
      <c r="G11148" s="34"/>
      <c r="H11148" s="4"/>
    </row>
    <row r="11149" spans="5:8" x14ac:dyDescent="0.25">
      <c r="E11149" s="34"/>
      <c r="G11149" s="34"/>
      <c r="H11149" s="4"/>
    </row>
    <row r="11150" spans="5:8" x14ac:dyDescent="0.25">
      <c r="E11150" s="34"/>
      <c r="G11150" s="34"/>
      <c r="H11150" s="4"/>
    </row>
    <row r="11151" spans="5:8" x14ac:dyDescent="0.25">
      <c r="E11151" s="34"/>
      <c r="G11151" s="34"/>
      <c r="H11151" s="4"/>
    </row>
    <row r="11152" spans="5:8" x14ac:dyDescent="0.25">
      <c r="E11152" s="34"/>
      <c r="G11152" s="34"/>
      <c r="H11152" s="4"/>
    </row>
    <row r="11153" spans="5:8" x14ac:dyDescent="0.25">
      <c r="E11153" s="34"/>
      <c r="G11153" s="34"/>
      <c r="H11153" s="4"/>
    </row>
    <row r="11154" spans="5:8" x14ac:dyDescent="0.25">
      <c r="E11154" s="34"/>
      <c r="G11154" s="34"/>
      <c r="H11154" s="4"/>
    </row>
    <row r="11155" spans="5:8" x14ac:dyDescent="0.25">
      <c r="E11155" s="34"/>
      <c r="G11155" s="34"/>
      <c r="H11155" s="4"/>
    </row>
    <row r="11156" spans="5:8" x14ac:dyDescent="0.25">
      <c r="E11156" s="34"/>
      <c r="G11156" s="34"/>
      <c r="H11156" s="4"/>
    </row>
    <row r="11157" spans="5:8" x14ac:dyDescent="0.25">
      <c r="E11157" s="34"/>
      <c r="G11157" s="34"/>
      <c r="H11157" s="4"/>
    </row>
    <row r="11158" spans="5:8" x14ac:dyDescent="0.25">
      <c r="E11158" s="34"/>
      <c r="G11158" s="34"/>
      <c r="H11158" s="4"/>
    </row>
    <row r="11159" spans="5:8" x14ac:dyDescent="0.25">
      <c r="E11159" s="34"/>
      <c r="G11159" s="34"/>
      <c r="H11159" s="4"/>
    </row>
    <row r="11160" spans="5:8" x14ac:dyDescent="0.25">
      <c r="E11160" s="34"/>
      <c r="G11160" s="34"/>
      <c r="H11160" s="4"/>
    </row>
    <row r="11161" spans="5:8" x14ac:dyDescent="0.25">
      <c r="E11161" s="34"/>
      <c r="G11161" s="34"/>
      <c r="H11161" s="4"/>
    </row>
    <row r="11162" spans="5:8" x14ac:dyDescent="0.25">
      <c r="E11162" s="34"/>
      <c r="G11162" s="34"/>
      <c r="H11162" s="4"/>
    </row>
    <row r="11163" spans="5:8" x14ac:dyDescent="0.25">
      <c r="E11163" s="34"/>
      <c r="G11163" s="34"/>
      <c r="H11163" s="4"/>
    </row>
    <row r="11164" spans="5:8" x14ac:dyDescent="0.25">
      <c r="E11164" s="34"/>
      <c r="G11164" s="34"/>
      <c r="H11164" s="4"/>
    </row>
    <row r="11165" spans="5:8" x14ac:dyDescent="0.25">
      <c r="E11165" s="34"/>
      <c r="G11165" s="34"/>
      <c r="H11165" s="4"/>
    </row>
    <row r="11166" spans="5:8" x14ac:dyDescent="0.25">
      <c r="E11166" s="34"/>
      <c r="G11166" s="34"/>
      <c r="H11166" s="4"/>
    </row>
    <row r="11167" spans="5:8" x14ac:dyDescent="0.25">
      <c r="E11167" s="34"/>
      <c r="G11167" s="34"/>
      <c r="H11167" s="4"/>
    </row>
    <row r="11168" spans="5:8" x14ac:dyDescent="0.25">
      <c r="E11168" s="34"/>
      <c r="G11168" s="34"/>
      <c r="H11168" s="4"/>
    </row>
    <row r="11169" spans="5:8" x14ac:dyDescent="0.25">
      <c r="E11169" s="34"/>
      <c r="G11169" s="34"/>
      <c r="H11169" s="4"/>
    </row>
    <row r="11170" spans="5:8" x14ac:dyDescent="0.25">
      <c r="E11170" s="34"/>
      <c r="G11170" s="34"/>
      <c r="H11170" s="4"/>
    </row>
    <row r="11171" spans="5:8" x14ac:dyDescent="0.25">
      <c r="E11171" s="34"/>
      <c r="G11171" s="34"/>
      <c r="H11171" s="4"/>
    </row>
    <row r="11172" spans="5:8" x14ac:dyDescent="0.25">
      <c r="E11172" s="34"/>
      <c r="G11172" s="34"/>
      <c r="H11172" s="4"/>
    </row>
    <row r="11173" spans="5:8" x14ac:dyDescent="0.25">
      <c r="E11173" s="34"/>
      <c r="G11173" s="34"/>
      <c r="H11173" s="4"/>
    </row>
    <row r="11174" spans="5:8" x14ac:dyDescent="0.25">
      <c r="E11174" s="34"/>
      <c r="G11174" s="34"/>
      <c r="H11174" s="4"/>
    </row>
    <row r="11175" spans="5:8" x14ac:dyDescent="0.25">
      <c r="E11175" s="34"/>
      <c r="G11175" s="34"/>
      <c r="H11175" s="4"/>
    </row>
    <row r="11176" spans="5:8" x14ac:dyDescent="0.25">
      <c r="E11176" s="34"/>
      <c r="G11176" s="34"/>
      <c r="H11176" s="4"/>
    </row>
    <row r="11177" spans="5:8" x14ac:dyDescent="0.25">
      <c r="E11177" s="34"/>
      <c r="G11177" s="34"/>
      <c r="H11177" s="4"/>
    </row>
    <row r="11178" spans="5:8" x14ac:dyDescent="0.25">
      <c r="E11178" s="34"/>
      <c r="G11178" s="34"/>
      <c r="H11178" s="4"/>
    </row>
    <row r="11179" spans="5:8" x14ac:dyDescent="0.25">
      <c r="E11179" s="34"/>
      <c r="G11179" s="34"/>
      <c r="H11179" s="4"/>
    </row>
    <row r="11180" spans="5:8" x14ac:dyDescent="0.25">
      <c r="E11180" s="34"/>
      <c r="G11180" s="34"/>
      <c r="H11180" s="4"/>
    </row>
    <row r="11181" spans="5:8" x14ac:dyDescent="0.25">
      <c r="E11181" s="34"/>
      <c r="G11181" s="34"/>
      <c r="H11181" s="4"/>
    </row>
    <row r="11182" spans="5:8" x14ac:dyDescent="0.25">
      <c r="E11182" s="34"/>
      <c r="G11182" s="34"/>
      <c r="H11182" s="4"/>
    </row>
    <row r="11183" spans="5:8" x14ac:dyDescent="0.25">
      <c r="E11183" s="34"/>
      <c r="G11183" s="34"/>
      <c r="H11183" s="4"/>
    </row>
    <row r="11184" spans="5:8" x14ac:dyDescent="0.25">
      <c r="E11184" s="34"/>
      <c r="G11184" s="34"/>
      <c r="H11184" s="4"/>
    </row>
    <row r="11185" spans="5:8" x14ac:dyDescent="0.25">
      <c r="E11185" s="34"/>
      <c r="G11185" s="34"/>
      <c r="H11185" s="4"/>
    </row>
    <row r="11186" spans="5:8" x14ac:dyDescent="0.25">
      <c r="E11186" s="34"/>
      <c r="G11186" s="34"/>
      <c r="H11186" s="4"/>
    </row>
    <row r="11187" spans="5:8" x14ac:dyDescent="0.25">
      <c r="E11187" s="34"/>
      <c r="G11187" s="34"/>
      <c r="H11187" s="4"/>
    </row>
    <row r="11188" spans="5:8" x14ac:dyDescent="0.25">
      <c r="E11188" s="34"/>
      <c r="G11188" s="34"/>
      <c r="H11188" s="4"/>
    </row>
    <row r="11189" spans="5:8" x14ac:dyDescent="0.25">
      <c r="E11189" s="34"/>
      <c r="G11189" s="34"/>
      <c r="H11189" s="4"/>
    </row>
    <row r="11190" spans="5:8" x14ac:dyDescent="0.25">
      <c r="E11190" s="34"/>
      <c r="G11190" s="34"/>
      <c r="H11190" s="4"/>
    </row>
    <row r="11191" spans="5:8" x14ac:dyDescent="0.25">
      <c r="E11191" s="34"/>
      <c r="G11191" s="34"/>
      <c r="H11191" s="4"/>
    </row>
    <row r="11192" spans="5:8" x14ac:dyDescent="0.25">
      <c r="E11192" s="34"/>
      <c r="G11192" s="34"/>
      <c r="H11192" s="4"/>
    </row>
    <row r="11193" spans="5:8" x14ac:dyDescent="0.25">
      <c r="E11193" s="34"/>
      <c r="G11193" s="34"/>
      <c r="H11193" s="4"/>
    </row>
    <row r="11194" spans="5:8" x14ac:dyDescent="0.25">
      <c r="E11194" s="34"/>
      <c r="G11194" s="34"/>
      <c r="H11194" s="4"/>
    </row>
    <row r="11195" spans="5:8" x14ac:dyDescent="0.25">
      <c r="E11195" s="34"/>
      <c r="G11195" s="34"/>
      <c r="H11195" s="4"/>
    </row>
    <row r="11196" spans="5:8" x14ac:dyDescent="0.25">
      <c r="E11196" s="34"/>
      <c r="G11196" s="34"/>
      <c r="H11196" s="4"/>
    </row>
    <row r="11197" spans="5:8" x14ac:dyDescent="0.25">
      <c r="E11197" s="34"/>
      <c r="G11197" s="34"/>
      <c r="H11197" s="4"/>
    </row>
    <row r="11198" spans="5:8" x14ac:dyDescent="0.25">
      <c r="E11198" s="34"/>
      <c r="G11198" s="34"/>
      <c r="H11198" s="4"/>
    </row>
    <row r="11199" spans="5:8" x14ac:dyDescent="0.25">
      <c r="E11199" s="34"/>
      <c r="G11199" s="34"/>
      <c r="H11199" s="4"/>
    </row>
    <row r="11200" spans="5:8" x14ac:dyDescent="0.25">
      <c r="E11200" s="34"/>
      <c r="G11200" s="34"/>
      <c r="H11200" s="4"/>
    </row>
    <row r="11201" spans="5:8" x14ac:dyDescent="0.25">
      <c r="E11201" s="34"/>
      <c r="G11201" s="34"/>
      <c r="H11201" s="4"/>
    </row>
    <row r="11202" spans="5:8" x14ac:dyDescent="0.25">
      <c r="E11202" s="34"/>
      <c r="G11202" s="34"/>
      <c r="H11202" s="4"/>
    </row>
    <row r="11203" spans="5:8" x14ac:dyDescent="0.25">
      <c r="E11203" s="34"/>
      <c r="G11203" s="34"/>
      <c r="H11203" s="4"/>
    </row>
    <row r="11204" spans="5:8" x14ac:dyDescent="0.25">
      <c r="E11204" s="34"/>
      <c r="G11204" s="34"/>
      <c r="H11204" s="4"/>
    </row>
    <row r="11205" spans="5:8" x14ac:dyDescent="0.25">
      <c r="E11205" s="34"/>
      <c r="G11205" s="34"/>
      <c r="H11205" s="4"/>
    </row>
    <row r="11206" spans="5:8" x14ac:dyDescent="0.25">
      <c r="E11206" s="34"/>
      <c r="G11206" s="34"/>
      <c r="H11206" s="4"/>
    </row>
    <row r="11207" spans="5:8" x14ac:dyDescent="0.25">
      <c r="E11207" s="34"/>
      <c r="G11207" s="34"/>
      <c r="H11207" s="4"/>
    </row>
    <row r="11208" spans="5:8" x14ac:dyDescent="0.25">
      <c r="E11208" s="34"/>
      <c r="G11208" s="34"/>
      <c r="H11208" s="4"/>
    </row>
    <row r="11209" spans="5:8" x14ac:dyDescent="0.25">
      <c r="E11209" s="34"/>
      <c r="G11209" s="34"/>
      <c r="H11209" s="4"/>
    </row>
    <row r="11210" spans="5:8" x14ac:dyDescent="0.25">
      <c r="E11210" s="34"/>
      <c r="G11210" s="34"/>
      <c r="H11210" s="4"/>
    </row>
    <row r="11211" spans="5:8" x14ac:dyDescent="0.25">
      <c r="E11211" s="34"/>
      <c r="G11211" s="34"/>
      <c r="H11211" s="4"/>
    </row>
    <row r="11212" spans="5:8" x14ac:dyDescent="0.25">
      <c r="E11212" s="34"/>
      <c r="G11212" s="34"/>
      <c r="H11212" s="4"/>
    </row>
    <row r="11213" spans="5:8" x14ac:dyDescent="0.25">
      <c r="E11213" s="34"/>
      <c r="G11213" s="34"/>
      <c r="H11213" s="4"/>
    </row>
    <row r="11214" spans="5:8" x14ac:dyDescent="0.25">
      <c r="E11214" s="34"/>
      <c r="G11214" s="34"/>
      <c r="H11214" s="4"/>
    </row>
    <row r="11215" spans="5:8" x14ac:dyDescent="0.25">
      <c r="E11215" s="34"/>
      <c r="G11215" s="34"/>
      <c r="H11215" s="4"/>
    </row>
    <row r="11216" spans="5:8" x14ac:dyDescent="0.25">
      <c r="E11216" s="34"/>
      <c r="G11216" s="34"/>
      <c r="H11216" s="4"/>
    </row>
    <row r="11217" spans="5:8" x14ac:dyDescent="0.25">
      <c r="E11217" s="34"/>
      <c r="G11217" s="34"/>
      <c r="H11217" s="4"/>
    </row>
    <row r="11218" spans="5:8" x14ac:dyDescent="0.25">
      <c r="E11218" s="34"/>
      <c r="G11218" s="34"/>
      <c r="H11218" s="4"/>
    </row>
    <row r="11219" spans="5:8" x14ac:dyDescent="0.25">
      <c r="E11219" s="34"/>
      <c r="G11219" s="34"/>
      <c r="H11219" s="4"/>
    </row>
    <row r="11220" spans="5:8" x14ac:dyDescent="0.25">
      <c r="E11220" s="34"/>
      <c r="G11220" s="34"/>
      <c r="H11220" s="4"/>
    </row>
    <row r="11221" spans="5:8" x14ac:dyDescent="0.25">
      <c r="E11221" s="34"/>
      <c r="G11221" s="34"/>
      <c r="H11221" s="4"/>
    </row>
    <row r="11222" spans="5:8" x14ac:dyDescent="0.25">
      <c r="E11222" s="34"/>
      <c r="G11222" s="34"/>
      <c r="H11222" s="4"/>
    </row>
    <row r="11223" spans="5:8" x14ac:dyDescent="0.25">
      <c r="E11223" s="34"/>
      <c r="G11223" s="34"/>
      <c r="H11223" s="4"/>
    </row>
    <row r="11224" spans="5:8" x14ac:dyDescent="0.25">
      <c r="E11224" s="34"/>
      <c r="G11224" s="34"/>
      <c r="H11224" s="4"/>
    </row>
    <row r="11225" spans="5:8" x14ac:dyDescent="0.25">
      <c r="E11225" s="34"/>
      <c r="G11225" s="34"/>
      <c r="H11225" s="4"/>
    </row>
    <row r="11226" spans="5:8" x14ac:dyDescent="0.25">
      <c r="E11226" s="34"/>
      <c r="G11226" s="34"/>
      <c r="H11226" s="4"/>
    </row>
    <row r="11227" spans="5:8" x14ac:dyDescent="0.25">
      <c r="E11227" s="34"/>
      <c r="G11227" s="34"/>
      <c r="H11227" s="4"/>
    </row>
    <row r="11228" spans="5:8" x14ac:dyDescent="0.25">
      <c r="E11228" s="34"/>
      <c r="G11228" s="34"/>
      <c r="H11228" s="4"/>
    </row>
    <row r="11229" spans="5:8" x14ac:dyDescent="0.25">
      <c r="E11229" s="34"/>
      <c r="G11229" s="34"/>
      <c r="H11229" s="4"/>
    </row>
    <row r="11230" spans="5:8" x14ac:dyDescent="0.25">
      <c r="E11230" s="34"/>
      <c r="G11230" s="34"/>
      <c r="H11230" s="4"/>
    </row>
    <row r="11231" spans="5:8" x14ac:dyDescent="0.25">
      <c r="E11231" s="34"/>
      <c r="G11231" s="34"/>
      <c r="H11231" s="4"/>
    </row>
    <row r="11232" spans="5:8" x14ac:dyDescent="0.25">
      <c r="E11232" s="34"/>
      <c r="G11232" s="34"/>
      <c r="H11232" s="4"/>
    </row>
    <row r="11233" spans="5:8" x14ac:dyDescent="0.25">
      <c r="E11233" s="34"/>
      <c r="G11233" s="34"/>
      <c r="H11233" s="4"/>
    </row>
    <row r="11234" spans="5:8" x14ac:dyDescent="0.25">
      <c r="E11234" s="34"/>
      <c r="G11234" s="34"/>
      <c r="H11234" s="4"/>
    </row>
    <row r="11235" spans="5:8" x14ac:dyDescent="0.25">
      <c r="E11235" s="34"/>
      <c r="G11235" s="34"/>
      <c r="H11235" s="4"/>
    </row>
    <row r="11236" spans="5:8" x14ac:dyDescent="0.25">
      <c r="E11236" s="34"/>
      <c r="G11236" s="34"/>
      <c r="H11236" s="4"/>
    </row>
    <row r="11237" spans="5:8" x14ac:dyDescent="0.25">
      <c r="E11237" s="34"/>
      <c r="G11237" s="34"/>
      <c r="H11237" s="4"/>
    </row>
    <row r="11238" spans="5:8" x14ac:dyDescent="0.25">
      <c r="E11238" s="34"/>
      <c r="G11238" s="34"/>
      <c r="H11238" s="4"/>
    </row>
    <row r="11239" spans="5:8" x14ac:dyDescent="0.25">
      <c r="E11239" s="34"/>
      <c r="G11239" s="34"/>
      <c r="H11239" s="4"/>
    </row>
    <row r="11240" spans="5:8" x14ac:dyDescent="0.25">
      <c r="E11240" s="34"/>
      <c r="G11240" s="34"/>
      <c r="H11240" s="4"/>
    </row>
    <row r="11241" spans="5:8" x14ac:dyDescent="0.25">
      <c r="E11241" s="34"/>
      <c r="G11241" s="34"/>
      <c r="H11241" s="4"/>
    </row>
    <row r="11242" spans="5:8" x14ac:dyDescent="0.25">
      <c r="E11242" s="34"/>
      <c r="G11242" s="34"/>
      <c r="H11242" s="4"/>
    </row>
    <row r="11243" spans="5:8" x14ac:dyDescent="0.25">
      <c r="E11243" s="34"/>
      <c r="G11243" s="34"/>
      <c r="H11243" s="4"/>
    </row>
    <row r="11244" spans="5:8" x14ac:dyDescent="0.25">
      <c r="E11244" s="34"/>
      <c r="G11244" s="34"/>
      <c r="H11244" s="4"/>
    </row>
    <row r="11245" spans="5:8" x14ac:dyDescent="0.25">
      <c r="E11245" s="34"/>
      <c r="G11245" s="34"/>
      <c r="H11245" s="4"/>
    </row>
    <row r="11246" spans="5:8" x14ac:dyDescent="0.25">
      <c r="E11246" s="34"/>
      <c r="G11246" s="34"/>
      <c r="H11246" s="4"/>
    </row>
    <row r="11247" spans="5:8" x14ac:dyDescent="0.25">
      <c r="E11247" s="34"/>
      <c r="G11247" s="34"/>
      <c r="H11247" s="4"/>
    </row>
    <row r="11248" spans="5:8" x14ac:dyDescent="0.25">
      <c r="E11248" s="34"/>
      <c r="G11248" s="34"/>
      <c r="H11248" s="4"/>
    </row>
    <row r="11249" spans="5:8" x14ac:dyDescent="0.25">
      <c r="E11249" s="34"/>
      <c r="G11249" s="34"/>
      <c r="H11249" s="4"/>
    </row>
    <row r="11250" spans="5:8" x14ac:dyDescent="0.25">
      <c r="E11250" s="34"/>
      <c r="G11250" s="34"/>
      <c r="H11250" s="4"/>
    </row>
    <row r="11251" spans="5:8" x14ac:dyDescent="0.25">
      <c r="E11251" s="34"/>
      <c r="G11251" s="34"/>
      <c r="H11251" s="4"/>
    </row>
    <row r="11252" spans="5:8" x14ac:dyDescent="0.25">
      <c r="E11252" s="34"/>
      <c r="G11252" s="34"/>
      <c r="H11252" s="4"/>
    </row>
    <row r="11253" spans="5:8" x14ac:dyDescent="0.25">
      <c r="E11253" s="34"/>
      <c r="G11253" s="34"/>
      <c r="H11253" s="4"/>
    </row>
    <row r="11254" spans="5:8" x14ac:dyDescent="0.25">
      <c r="E11254" s="34"/>
      <c r="G11254" s="34"/>
      <c r="H11254" s="4"/>
    </row>
    <row r="11255" spans="5:8" x14ac:dyDescent="0.25">
      <c r="E11255" s="34"/>
      <c r="G11255" s="34"/>
      <c r="H11255" s="4"/>
    </row>
    <row r="11256" spans="5:8" x14ac:dyDescent="0.25">
      <c r="E11256" s="34"/>
      <c r="G11256" s="34"/>
      <c r="H11256" s="4"/>
    </row>
    <row r="11257" spans="5:8" x14ac:dyDescent="0.25">
      <c r="E11257" s="34"/>
      <c r="G11257" s="34"/>
      <c r="H11257" s="4"/>
    </row>
    <row r="11258" spans="5:8" x14ac:dyDescent="0.25">
      <c r="E11258" s="34"/>
      <c r="G11258" s="34"/>
      <c r="H11258" s="4"/>
    </row>
    <row r="11259" spans="5:8" x14ac:dyDescent="0.25">
      <c r="E11259" s="34"/>
      <c r="G11259" s="34"/>
      <c r="H11259" s="4"/>
    </row>
    <row r="11260" spans="5:8" x14ac:dyDescent="0.25">
      <c r="E11260" s="34"/>
      <c r="G11260" s="34"/>
      <c r="H11260" s="4"/>
    </row>
    <row r="11261" spans="5:8" x14ac:dyDescent="0.25">
      <c r="E11261" s="34"/>
      <c r="G11261" s="34"/>
      <c r="H11261" s="4"/>
    </row>
    <row r="11262" spans="5:8" x14ac:dyDescent="0.25">
      <c r="E11262" s="34"/>
      <c r="G11262" s="34"/>
      <c r="H11262" s="4"/>
    </row>
    <row r="11263" spans="5:8" x14ac:dyDescent="0.25">
      <c r="E11263" s="34"/>
      <c r="G11263" s="34"/>
      <c r="H11263" s="4"/>
    </row>
    <row r="11264" spans="5:8" x14ac:dyDescent="0.25">
      <c r="E11264" s="34"/>
      <c r="G11264" s="34"/>
      <c r="H11264" s="4"/>
    </row>
    <row r="11265" spans="5:8" x14ac:dyDescent="0.25">
      <c r="E11265" s="34"/>
      <c r="G11265" s="34"/>
      <c r="H11265" s="4"/>
    </row>
    <row r="11266" spans="5:8" x14ac:dyDescent="0.25">
      <c r="E11266" s="34"/>
      <c r="G11266" s="34"/>
      <c r="H11266" s="4"/>
    </row>
    <row r="11267" spans="5:8" x14ac:dyDescent="0.25">
      <c r="E11267" s="34"/>
      <c r="G11267" s="34"/>
      <c r="H11267" s="4"/>
    </row>
    <row r="11268" spans="5:8" x14ac:dyDescent="0.25">
      <c r="E11268" s="34"/>
      <c r="G11268" s="34"/>
      <c r="H11268" s="4"/>
    </row>
    <row r="11269" spans="5:8" x14ac:dyDescent="0.25">
      <c r="E11269" s="34"/>
      <c r="G11269" s="34"/>
      <c r="H11269" s="4"/>
    </row>
    <row r="11270" spans="5:8" x14ac:dyDescent="0.25">
      <c r="E11270" s="34"/>
      <c r="G11270" s="34"/>
      <c r="H11270" s="4"/>
    </row>
    <row r="11271" spans="5:8" x14ac:dyDescent="0.25">
      <c r="E11271" s="34"/>
      <c r="G11271" s="34"/>
      <c r="H11271" s="4"/>
    </row>
    <row r="11272" spans="5:8" x14ac:dyDescent="0.25">
      <c r="E11272" s="34"/>
      <c r="G11272" s="34"/>
      <c r="H11272" s="4"/>
    </row>
    <row r="11273" spans="5:8" x14ac:dyDescent="0.25">
      <c r="E11273" s="34"/>
      <c r="G11273" s="34"/>
      <c r="H11273" s="4"/>
    </row>
    <row r="11274" spans="5:8" x14ac:dyDescent="0.25">
      <c r="E11274" s="34"/>
      <c r="G11274" s="34"/>
      <c r="H11274" s="4"/>
    </row>
    <row r="11275" spans="5:8" x14ac:dyDescent="0.25">
      <c r="E11275" s="34"/>
      <c r="G11275" s="34"/>
      <c r="H11275" s="4"/>
    </row>
    <row r="11276" spans="5:8" x14ac:dyDescent="0.25">
      <c r="E11276" s="34"/>
      <c r="G11276" s="34"/>
      <c r="H11276" s="4"/>
    </row>
    <row r="11277" spans="5:8" x14ac:dyDescent="0.25">
      <c r="E11277" s="34"/>
      <c r="G11277" s="34"/>
      <c r="H11277" s="4"/>
    </row>
    <row r="11278" spans="5:8" x14ac:dyDescent="0.25">
      <c r="E11278" s="34"/>
      <c r="G11278" s="34"/>
      <c r="H11278" s="4"/>
    </row>
    <row r="11279" spans="5:8" x14ac:dyDescent="0.25">
      <c r="E11279" s="34"/>
      <c r="G11279" s="34"/>
      <c r="H11279" s="4"/>
    </row>
    <row r="11280" spans="5:8" x14ac:dyDescent="0.25">
      <c r="E11280" s="34"/>
      <c r="G11280" s="34"/>
      <c r="H11280" s="4"/>
    </row>
    <row r="11281" spans="5:8" x14ac:dyDescent="0.25">
      <c r="E11281" s="34"/>
      <c r="G11281" s="34"/>
      <c r="H11281" s="4"/>
    </row>
    <row r="11282" spans="5:8" x14ac:dyDescent="0.25">
      <c r="E11282" s="34"/>
      <c r="G11282" s="34"/>
      <c r="H11282" s="4"/>
    </row>
    <row r="11283" spans="5:8" x14ac:dyDescent="0.25">
      <c r="E11283" s="34"/>
      <c r="G11283" s="34"/>
      <c r="H11283" s="4"/>
    </row>
    <row r="11284" spans="5:8" x14ac:dyDescent="0.25">
      <c r="E11284" s="34"/>
      <c r="G11284" s="34"/>
      <c r="H11284" s="4"/>
    </row>
    <row r="11285" spans="5:8" x14ac:dyDescent="0.25">
      <c r="E11285" s="34"/>
      <c r="G11285" s="34"/>
      <c r="H11285" s="4"/>
    </row>
    <row r="11286" spans="5:8" x14ac:dyDescent="0.25">
      <c r="E11286" s="34"/>
      <c r="G11286" s="34"/>
      <c r="H11286" s="4"/>
    </row>
    <row r="11287" spans="5:8" x14ac:dyDescent="0.25">
      <c r="E11287" s="34"/>
      <c r="G11287" s="34"/>
      <c r="H11287" s="4"/>
    </row>
    <row r="11288" spans="5:8" x14ac:dyDescent="0.25">
      <c r="E11288" s="34"/>
      <c r="G11288" s="34"/>
      <c r="H11288" s="4"/>
    </row>
    <row r="11289" spans="5:8" x14ac:dyDescent="0.25">
      <c r="E11289" s="34"/>
      <c r="G11289" s="34"/>
      <c r="H11289" s="4"/>
    </row>
    <row r="11290" spans="5:8" x14ac:dyDescent="0.25">
      <c r="E11290" s="34"/>
      <c r="G11290" s="34"/>
      <c r="H11290" s="4"/>
    </row>
    <row r="11291" spans="5:8" x14ac:dyDescent="0.25">
      <c r="E11291" s="34"/>
      <c r="G11291" s="34"/>
      <c r="H11291" s="4"/>
    </row>
    <row r="11292" spans="5:8" x14ac:dyDescent="0.25">
      <c r="E11292" s="34"/>
      <c r="G11292" s="34"/>
      <c r="H11292" s="4"/>
    </row>
    <row r="11293" spans="5:8" x14ac:dyDescent="0.25">
      <c r="E11293" s="34"/>
      <c r="G11293" s="34"/>
      <c r="H11293" s="4"/>
    </row>
    <row r="11294" spans="5:8" x14ac:dyDescent="0.25">
      <c r="E11294" s="34"/>
      <c r="G11294" s="34"/>
      <c r="H11294" s="4"/>
    </row>
    <row r="11295" spans="5:8" x14ac:dyDescent="0.25">
      <c r="E11295" s="34"/>
      <c r="G11295" s="34"/>
      <c r="H11295" s="4"/>
    </row>
    <row r="11296" spans="5:8" x14ac:dyDescent="0.25">
      <c r="E11296" s="34"/>
      <c r="G11296" s="34"/>
      <c r="H11296" s="4"/>
    </row>
    <row r="11297" spans="5:8" x14ac:dyDescent="0.25">
      <c r="E11297" s="34"/>
      <c r="G11297" s="34"/>
      <c r="H11297" s="4"/>
    </row>
    <row r="11298" spans="5:8" x14ac:dyDescent="0.25">
      <c r="E11298" s="34"/>
      <c r="G11298" s="34"/>
      <c r="H11298" s="4"/>
    </row>
    <row r="11299" spans="5:8" x14ac:dyDescent="0.25">
      <c r="E11299" s="34"/>
      <c r="G11299" s="34"/>
      <c r="H11299" s="4"/>
    </row>
    <row r="11300" spans="5:8" x14ac:dyDescent="0.25">
      <c r="E11300" s="34"/>
      <c r="G11300" s="34"/>
      <c r="H11300" s="4"/>
    </row>
    <row r="11301" spans="5:8" x14ac:dyDescent="0.25">
      <c r="E11301" s="34"/>
      <c r="G11301" s="34"/>
      <c r="H11301" s="4"/>
    </row>
    <row r="11302" spans="5:8" x14ac:dyDescent="0.25">
      <c r="E11302" s="34"/>
      <c r="G11302" s="34"/>
      <c r="H11302" s="4"/>
    </row>
    <row r="11303" spans="5:8" x14ac:dyDescent="0.25">
      <c r="E11303" s="34"/>
      <c r="G11303" s="34"/>
      <c r="H11303" s="4"/>
    </row>
    <row r="11304" spans="5:8" x14ac:dyDescent="0.25">
      <c r="E11304" s="34"/>
      <c r="G11304" s="34"/>
      <c r="H11304" s="4"/>
    </row>
    <row r="11305" spans="5:8" x14ac:dyDescent="0.25">
      <c r="E11305" s="34"/>
      <c r="G11305" s="34"/>
      <c r="H11305" s="4"/>
    </row>
    <row r="11306" spans="5:8" x14ac:dyDescent="0.25">
      <c r="E11306" s="34"/>
      <c r="G11306" s="34"/>
      <c r="H11306" s="4"/>
    </row>
    <row r="11307" spans="5:8" x14ac:dyDescent="0.25">
      <c r="E11307" s="34"/>
      <c r="G11307" s="34"/>
      <c r="H11307" s="4"/>
    </row>
    <row r="11308" spans="5:8" x14ac:dyDescent="0.25">
      <c r="E11308" s="34"/>
      <c r="G11308" s="34"/>
      <c r="H11308" s="4"/>
    </row>
    <row r="11309" spans="5:8" x14ac:dyDescent="0.25">
      <c r="E11309" s="34"/>
      <c r="G11309" s="34"/>
      <c r="H11309" s="4"/>
    </row>
    <row r="11310" spans="5:8" x14ac:dyDescent="0.25">
      <c r="E11310" s="34"/>
      <c r="G11310" s="34"/>
      <c r="H11310" s="4"/>
    </row>
    <row r="11311" spans="5:8" x14ac:dyDescent="0.25">
      <c r="E11311" s="34"/>
      <c r="G11311" s="34"/>
      <c r="H11311" s="4"/>
    </row>
    <row r="11312" spans="5:8" x14ac:dyDescent="0.25">
      <c r="E11312" s="34"/>
      <c r="G11312" s="34"/>
      <c r="H11312" s="4"/>
    </row>
    <row r="11313" spans="5:8" x14ac:dyDescent="0.25">
      <c r="E11313" s="34"/>
      <c r="G11313" s="34"/>
      <c r="H11313" s="4"/>
    </row>
    <row r="11314" spans="5:8" x14ac:dyDescent="0.25">
      <c r="E11314" s="34"/>
      <c r="G11314" s="34"/>
      <c r="H11314" s="4"/>
    </row>
    <row r="11315" spans="5:8" x14ac:dyDescent="0.25">
      <c r="E11315" s="34"/>
      <c r="G11315" s="34"/>
      <c r="H11315" s="4"/>
    </row>
    <row r="11316" spans="5:8" x14ac:dyDescent="0.25">
      <c r="E11316" s="34"/>
      <c r="G11316" s="34"/>
      <c r="H11316" s="4"/>
    </row>
    <row r="11317" spans="5:8" x14ac:dyDescent="0.25">
      <c r="E11317" s="34"/>
      <c r="G11317" s="34"/>
      <c r="H11317" s="4"/>
    </row>
    <row r="11318" spans="5:8" x14ac:dyDescent="0.25">
      <c r="E11318" s="34"/>
      <c r="G11318" s="34"/>
      <c r="H11318" s="4"/>
    </row>
    <row r="11319" spans="5:8" x14ac:dyDescent="0.25">
      <c r="E11319" s="34"/>
      <c r="G11319" s="34"/>
      <c r="H11319" s="4"/>
    </row>
    <row r="11320" spans="5:8" x14ac:dyDescent="0.25">
      <c r="E11320" s="34"/>
      <c r="G11320" s="34"/>
      <c r="H11320" s="4"/>
    </row>
    <row r="11321" spans="5:8" x14ac:dyDescent="0.25">
      <c r="E11321" s="34"/>
      <c r="G11321" s="34"/>
      <c r="H11321" s="4"/>
    </row>
    <row r="11322" spans="5:8" x14ac:dyDescent="0.25">
      <c r="E11322" s="34"/>
      <c r="G11322" s="34"/>
      <c r="H11322" s="4"/>
    </row>
    <row r="11323" spans="5:8" x14ac:dyDescent="0.25">
      <c r="E11323" s="34"/>
      <c r="G11323" s="34"/>
      <c r="H11323" s="4"/>
    </row>
    <row r="11324" spans="5:8" x14ac:dyDescent="0.25">
      <c r="E11324" s="34"/>
      <c r="G11324" s="34"/>
      <c r="H11324" s="4"/>
    </row>
    <row r="11325" spans="5:8" x14ac:dyDescent="0.25">
      <c r="E11325" s="34"/>
      <c r="G11325" s="34"/>
      <c r="H11325" s="4"/>
    </row>
    <row r="11326" spans="5:8" x14ac:dyDescent="0.25">
      <c r="E11326" s="34"/>
      <c r="G11326" s="34"/>
      <c r="H11326" s="4"/>
    </row>
    <row r="11327" spans="5:8" x14ac:dyDescent="0.25">
      <c r="E11327" s="34"/>
      <c r="G11327" s="34"/>
      <c r="H11327" s="4"/>
    </row>
    <row r="11328" spans="5:8" x14ac:dyDescent="0.25">
      <c r="E11328" s="34"/>
      <c r="G11328" s="34"/>
      <c r="H11328" s="4"/>
    </row>
    <row r="11329" spans="5:8" x14ac:dyDescent="0.25">
      <c r="E11329" s="34"/>
      <c r="G11329" s="34"/>
      <c r="H11329" s="4"/>
    </row>
    <row r="11330" spans="5:8" x14ac:dyDescent="0.25">
      <c r="E11330" s="34"/>
      <c r="G11330" s="34"/>
      <c r="H11330" s="4"/>
    </row>
    <row r="11331" spans="5:8" x14ac:dyDescent="0.25">
      <c r="E11331" s="34"/>
      <c r="G11331" s="34"/>
      <c r="H11331" s="4"/>
    </row>
    <row r="11332" spans="5:8" x14ac:dyDescent="0.25">
      <c r="E11332" s="34"/>
      <c r="G11332" s="34"/>
      <c r="H11332" s="4"/>
    </row>
    <row r="11333" spans="5:8" x14ac:dyDescent="0.25">
      <c r="E11333" s="34"/>
      <c r="G11333" s="34"/>
      <c r="H11333" s="4"/>
    </row>
    <row r="11334" spans="5:8" x14ac:dyDescent="0.25">
      <c r="E11334" s="34"/>
      <c r="G11334" s="34"/>
      <c r="H11334" s="4"/>
    </row>
    <row r="11335" spans="5:8" x14ac:dyDescent="0.25">
      <c r="E11335" s="34"/>
      <c r="G11335" s="34"/>
      <c r="H11335" s="4"/>
    </row>
    <row r="11336" spans="5:8" x14ac:dyDescent="0.25">
      <c r="E11336" s="34"/>
      <c r="G11336" s="34"/>
      <c r="H11336" s="4"/>
    </row>
    <row r="11337" spans="5:8" x14ac:dyDescent="0.25">
      <c r="E11337" s="34"/>
      <c r="G11337" s="34"/>
      <c r="H11337" s="4"/>
    </row>
    <row r="11338" spans="5:8" x14ac:dyDescent="0.25">
      <c r="E11338" s="34"/>
      <c r="G11338" s="34"/>
      <c r="H11338" s="4"/>
    </row>
    <row r="11339" spans="5:8" x14ac:dyDescent="0.25">
      <c r="E11339" s="34"/>
      <c r="G11339" s="34"/>
      <c r="H11339" s="4"/>
    </row>
    <row r="11340" spans="5:8" x14ac:dyDescent="0.25">
      <c r="E11340" s="34"/>
      <c r="G11340" s="34"/>
      <c r="H11340" s="4"/>
    </row>
    <row r="11341" spans="5:8" x14ac:dyDescent="0.25">
      <c r="E11341" s="34"/>
      <c r="G11341" s="34"/>
      <c r="H11341" s="4"/>
    </row>
    <row r="11342" spans="5:8" x14ac:dyDescent="0.25">
      <c r="E11342" s="34"/>
      <c r="G11342" s="34"/>
      <c r="H11342" s="4"/>
    </row>
    <row r="11343" spans="5:8" x14ac:dyDescent="0.25">
      <c r="E11343" s="34"/>
      <c r="G11343" s="34"/>
      <c r="H11343" s="4"/>
    </row>
    <row r="11344" spans="5:8" x14ac:dyDescent="0.25">
      <c r="E11344" s="34"/>
      <c r="G11344" s="34"/>
      <c r="H11344" s="4"/>
    </row>
    <row r="11345" spans="5:8" x14ac:dyDescent="0.25">
      <c r="E11345" s="34"/>
      <c r="G11345" s="34"/>
      <c r="H11345" s="4"/>
    </row>
    <row r="11346" spans="5:8" x14ac:dyDescent="0.25">
      <c r="E11346" s="34"/>
      <c r="G11346" s="34"/>
      <c r="H11346" s="4"/>
    </row>
    <row r="11347" spans="5:8" x14ac:dyDescent="0.25">
      <c r="E11347" s="34"/>
      <c r="G11347" s="34"/>
      <c r="H11347" s="4"/>
    </row>
    <row r="11348" spans="5:8" x14ac:dyDescent="0.25">
      <c r="E11348" s="34"/>
      <c r="G11348" s="34"/>
      <c r="H11348" s="4"/>
    </row>
    <row r="11349" spans="5:8" x14ac:dyDescent="0.25">
      <c r="E11349" s="34"/>
      <c r="G11349" s="34"/>
      <c r="H11349" s="4"/>
    </row>
    <row r="11350" spans="5:8" x14ac:dyDescent="0.25">
      <c r="E11350" s="34"/>
      <c r="G11350" s="34"/>
      <c r="H11350" s="4"/>
    </row>
    <row r="11351" spans="5:8" x14ac:dyDescent="0.25">
      <c r="E11351" s="34"/>
      <c r="G11351" s="34"/>
      <c r="H11351" s="4"/>
    </row>
    <row r="11352" spans="5:8" x14ac:dyDescent="0.25">
      <c r="E11352" s="34"/>
      <c r="G11352" s="34"/>
      <c r="H11352" s="4"/>
    </row>
    <row r="11353" spans="5:8" x14ac:dyDescent="0.25">
      <c r="E11353" s="34"/>
      <c r="G11353" s="34"/>
      <c r="H11353" s="4"/>
    </row>
    <row r="11354" spans="5:8" x14ac:dyDescent="0.25">
      <c r="E11354" s="34"/>
      <c r="G11354" s="34"/>
      <c r="H11354" s="4"/>
    </row>
    <row r="11355" spans="5:8" x14ac:dyDescent="0.25">
      <c r="E11355" s="34"/>
      <c r="G11355" s="34"/>
      <c r="H11355" s="4"/>
    </row>
    <row r="11356" spans="5:8" x14ac:dyDescent="0.25">
      <c r="E11356" s="34"/>
      <c r="G11356" s="34"/>
      <c r="H11356" s="4"/>
    </row>
    <row r="11357" spans="5:8" x14ac:dyDescent="0.25">
      <c r="E11357" s="34"/>
      <c r="G11357" s="34"/>
      <c r="H11357" s="4"/>
    </row>
    <row r="11358" spans="5:8" x14ac:dyDescent="0.25">
      <c r="E11358" s="34"/>
      <c r="G11358" s="34"/>
      <c r="H11358" s="4"/>
    </row>
    <row r="11359" spans="5:8" x14ac:dyDescent="0.25">
      <c r="E11359" s="34"/>
      <c r="G11359" s="34"/>
      <c r="H11359" s="4"/>
    </row>
    <row r="11360" spans="5:8" x14ac:dyDescent="0.25">
      <c r="E11360" s="34"/>
      <c r="G11360" s="34"/>
      <c r="H11360" s="4"/>
    </row>
    <row r="11361" spans="5:8" x14ac:dyDescent="0.25">
      <c r="E11361" s="34"/>
      <c r="G11361" s="34"/>
      <c r="H11361" s="4"/>
    </row>
    <row r="11362" spans="5:8" x14ac:dyDescent="0.25">
      <c r="E11362" s="34"/>
      <c r="G11362" s="34"/>
      <c r="H11362" s="4"/>
    </row>
    <row r="11363" spans="5:8" x14ac:dyDescent="0.25">
      <c r="E11363" s="34"/>
      <c r="G11363" s="34"/>
      <c r="H11363" s="4"/>
    </row>
    <row r="11364" spans="5:8" x14ac:dyDescent="0.25">
      <c r="E11364" s="34"/>
      <c r="G11364" s="34"/>
      <c r="H11364" s="4"/>
    </row>
    <row r="11365" spans="5:8" x14ac:dyDescent="0.25">
      <c r="E11365" s="34"/>
      <c r="G11365" s="34"/>
      <c r="H11365" s="4"/>
    </row>
    <row r="11366" spans="5:8" x14ac:dyDescent="0.25">
      <c r="E11366" s="34"/>
      <c r="G11366" s="34"/>
      <c r="H11366" s="4"/>
    </row>
    <row r="11367" spans="5:8" x14ac:dyDescent="0.25">
      <c r="E11367" s="34"/>
      <c r="G11367" s="34"/>
      <c r="H11367" s="4"/>
    </row>
    <row r="11368" spans="5:8" x14ac:dyDescent="0.25">
      <c r="E11368" s="34"/>
      <c r="G11368" s="34"/>
      <c r="H11368" s="4"/>
    </row>
    <row r="11369" spans="5:8" x14ac:dyDescent="0.25">
      <c r="E11369" s="34"/>
      <c r="G11369" s="34"/>
      <c r="H11369" s="4"/>
    </row>
    <row r="11370" spans="5:8" x14ac:dyDescent="0.25">
      <c r="E11370" s="34"/>
      <c r="G11370" s="34"/>
      <c r="H11370" s="4"/>
    </row>
    <row r="11371" spans="5:8" x14ac:dyDescent="0.25">
      <c r="E11371" s="34"/>
      <c r="G11371" s="34"/>
      <c r="H11371" s="4"/>
    </row>
    <row r="11372" spans="5:8" x14ac:dyDescent="0.25">
      <c r="E11372" s="34"/>
      <c r="G11372" s="34"/>
      <c r="H11372" s="4"/>
    </row>
    <row r="11373" spans="5:8" x14ac:dyDescent="0.25">
      <c r="E11373" s="34"/>
      <c r="G11373" s="34"/>
      <c r="H11373" s="4"/>
    </row>
    <row r="11374" spans="5:8" x14ac:dyDescent="0.25">
      <c r="E11374" s="34"/>
      <c r="G11374" s="34"/>
      <c r="H11374" s="4"/>
    </row>
    <row r="11375" spans="5:8" x14ac:dyDescent="0.25">
      <c r="E11375" s="34"/>
      <c r="G11375" s="34"/>
      <c r="H11375" s="4"/>
    </row>
    <row r="11376" spans="5:8" x14ac:dyDescent="0.25">
      <c r="E11376" s="34"/>
      <c r="G11376" s="34"/>
      <c r="H11376" s="4"/>
    </row>
    <row r="11377" spans="5:8" x14ac:dyDescent="0.25">
      <c r="E11377" s="34"/>
      <c r="G11377" s="34"/>
      <c r="H11377" s="4"/>
    </row>
    <row r="11378" spans="5:8" x14ac:dyDescent="0.25">
      <c r="E11378" s="34"/>
      <c r="G11378" s="34"/>
      <c r="H11378" s="4"/>
    </row>
    <row r="11379" spans="5:8" x14ac:dyDescent="0.25">
      <c r="E11379" s="34"/>
      <c r="G11379" s="34"/>
      <c r="H11379" s="4"/>
    </row>
    <row r="11380" spans="5:8" x14ac:dyDescent="0.25">
      <c r="E11380" s="34"/>
      <c r="G11380" s="34"/>
      <c r="H11380" s="4"/>
    </row>
    <row r="11381" spans="5:8" x14ac:dyDescent="0.25">
      <c r="E11381" s="34"/>
      <c r="G11381" s="34"/>
      <c r="H11381" s="4"/>
    </row>
    <row r="11382" spans="5:8" x14ac:dyDescent="0.25">
      <c r="E11382" s="34"/>
      <c r="G11382" s="34"/>
      <c r="H11382" s="4"/>
    </row>
    <row r="11383" spans="5:8" x14ac:dyDescent="0.25">
      <c r="E11383" s="34"/>
      <c r="G11383" s="34"/>
      <c r="H11383" s="4"/>
    </row>
    <row r="11384" spans="5:8" x14ac:dyDescent="0.25">
      <c r="E11384" s="34"/>
      <c r="G11384" s="34"/>
      <c r="H11384" s="4"/>
    </row>
    <row r="11385" spans="5:8" x14ac:dyDescent="0.25">
      <c r="E11385" s="34"/>
      <c r="G11385" s="34"/>
      <c r="H11385" s="4"/>
    </row>
    <row r="11386" spans="5:8" x14ac:dyDescent="0.25">
      <c r="E11386" s="34"/>
      <c r="G11386" s="34"/>
      <c r="H11386" s="4"/>
    </row>
    <row r="11387" spans="5:8" x14ac:dyDescent="0.25">
      <c r="E11387" s="34"/>
      <c r="G11387" s="34"/>
      <c r="H11387" s="4"/>
    </row>
    <row r="11388" spans="5:8" x14ac:dyDescent="0.25">
      <c r="E11388" s="34"/>
      <c r="G11388" s="34"/>
      <c r="H11388" s="4"/>
    </row>
    <row r="11389" spans="5:8" x14ac:dyDescent="0.25">
      <c r="E11389" s="34"/>
      <c r="G11389" s="34"/>
      <c r="H11389" s="4"/>
    </row>
    <row r="11390" spans="5:8" x14ac:dyDescent="0.25">
      <c r="E11390" s="34"/>
      <c r="G11390" s="34"/>
      <c r="H11390" s="4"/>
    </row>
    <row r="11391" spans="5:8" x14ac:dyDescent="0.25">
      <c r="E11391" s="34"/>
      <c r="G11391" s="34"/>
      <c r="H11391" s="4"/>
    </row>
    <row r="11392" spans="5:8" x14ac:dyDescent="0.25">
      <c r="E11392" s="34"/>
      <c r="G11392" s="34"/>
      <c r="H11392" s="4"/>
    </row>
    <row r="11393" spans="5:8" x14ac:dyDescent="0.25">
      <c r="E11393" s="34"/>
      <c r="G11393" s="34"/>
      <c r="H11393" s="4"/>
    </row>
    <row r="11394" spans="5:8" x14ac:dyDescent="0.25">
      <c r="E11394" s="34"/>
      <c r="G11394" s="34"/>
      <c r="H11394" s="4"/>
    </row>
    <row r="11395" spans="5:8" x14ac:dyDescent="0.25">
      <c r="E11395" s="34"/>
      <c r="G11395" s="34"/>
      <c r="H11395" s="4"/>
    </row>
    <row r="11396" spans="5:8" x14ac:dyDescent="0.25">
      <c r="E11396" s="34"/>
      <c r="G11396" s="34"/>
      <c r="H11396" s="4"/>
    </row>
    <row r="11397" spans="5:8" x14ac:dyDescent="0.25">
      <c r="E11397" s="34"/>
      <c r="G11397" s="34"/>
      <c r="H11397" s="4"/>
    </row>
    <row r="11398" spans="5:8" x14ac:dyDescent="0.25">
      <c r="E11398" s="34"/>
      <c r="G11398" s="34"/>
      <c r="H11398" s="4"/>
    </row>
    <row r="11399" spans="5:8" x14ac:dyDescent="0.25">
      <c r="E11399" s="34"/>
      <c r="G11399" s="34"/>
      <c r="H11399" s="4"/>
    </row>
    <row r="11400" spans="5:8" x14ac:dyDescent="0.25">
      <c r="E11400" s="34"/>
      <c r="G11400" s="34"/>
      <c r="H11400" s="4"/>
    </row>
    <row r="11401" spans="5:8" x14ac:dyDescent="0.25">
      <c r="E11401" s="34"/>
      <c r="G11401" s="34"/>
      <c r="H11401" s="4"/>
    </row>
    <row r="11402" spans="5:8" x14ac:dyDescent="0.25">
      <c r="E11402" s="34"/>
      <c r="G11402" s="34"/>
      <c r="H11402" s="4"/>
    </row>
    <row r="11403" spans="5:8" x14ac:dyDescent="0.25">
      <c r="E11403" s="34"/>
      <c r="G11403" s="34"/>
      <c r="H11403" s="4"/>
    </row>
    <row r="11404" spans="5:8" x14ac:dyDescent="0.25">
      <c r="E11404" s="34"/>
      <c r="G11404" s="34"/>
      <c r="H11404" s="4"/>
    </row>
    <row r="11405" spans="5:8" x14ac:dyDescent="0.25">
      <c r="E11405" s="34"/>
      <c r="G11405" s="34"/>
      <c r="H11405" s="4"/>
    </row>
    <row r="11406" spans="5:8" x14ac:dyDescent="0.25">
      <c r="E11406" s="34"/>
      <c r="G11406" s="34"/>
      <c r="H11406" s="4"/>
    </row>
    <row r="11407" spans="5:8" x14ac:dyDescent="0.25">
      <c r="E11407" s="34"/>
      <c r="G11407" s="34"/>
      <c r="H11407" s="4"/>
    </row>
    <row r="11408" spans="5:8" x14ac:dyDescent="0.25">
      <c r="E11408" s="34"/>
      <c r="G11408" s="34"/>
      <c r="H11408" s="4"/>
    </row>
    <row r="11409" spans="5:8" x14ac:dyDescent="0.25">
      <c r="E11409" s="34"/>
      <c r="G11409" s="34"/>
      <c r="H11409" s="4"/>
    </row>
    <row r="11410" spans="5:8" x14ac:dyDescent="0.25">
      <c r="E11410" s="34"/>
      <c r="G11410" s="34"/>
      <c r="H11410" s="4"/>
    </row>
    <row r="11411" spans="5:8" x14ac:dyDescent="0.25">
      <c r="E11411" s="34"/>
      <c r="G11411" s="34"/>
      <c r="H11411" s="4"/>
    </row>
    <row r="11412" spans="5:8" x14ac:dyDescent="0.25">
      <c r="E11412" s="34"/>
      <c r="G11412" s="34"/>
      <c r="H11412" s="4"/>
    </row>
    <row r="11413" spans="5:8" x14ac:dyDescent="0.25">
      <c r="E11413" s="34"/>
      <c r="G11413" s="34"/>
      <c r="H11413" s="4"/>
    </row>
    <row r="11414" spans="5:8" x14ac:dyDescent="0.25">
      <c r="E11414" s="34"/>
      <c r="G11414" s="34"/>
      <c r="H11414" s="4"/>
    </row>
    <row r="11415" spans="5:8" x14ac:dyDescent="0.25">
      <c r="E11415" s="34"/>
      <c r="G11415" s="34"/>
      <c r="H11415" s="4"/>
    </row>
    <row r="11416" spans="5:8" x14ac:dyDescent="0.25">
      <c r="E11416" s="34"/>
      <c r="G11416" s="34"/>
      <c r="H11416" s="4"/>
    </row>
    <row r="11417" spans="5:8" x14ac:dyDescent="0.25">
      <c r="E11417" s="34"/>
      <c r="G11417" s="34"/>
      <c r="H11417" s="4"/>
    </row>
    <row r="11418" spans="5:8" x14ac:dyDescent="0.25">
      <c r="E11418" s="34"/>
      <c r="G11418" s="34"/>
      <c r="H11418" s="4"/>
    </row>
    <row r="11419" spans="5:8" x14ac:dyDescent="0.25">
      <c r="E11419" s="34"/>
      <c r="G11419" s="34"/>
      <c r="H11419" s="4"/>
    </row>
    <row r="11420" spans="5:8" x14ac:dyDescent="0.25">
      <c r="E11420" s="34"/>
      <c r="G11420" s="34"/>
      <c r="H11420" s="4"/>
    </row>
    <row r="11421" spans="5:8" x14ac:dyDescent="0.25">
      <c r="E11421" s="34"/>
      <c r="G11421" s="34"/>
      <c r="H11421" s="4"/>
    </row>
    <row r="11422" spans="5:8" x14ac:dyDescent="0.25">
      <c r="E11422" s="34"/>
      <c r="G11422" s="34"/>
      <c r="H11422" s="4"/>
    </row>
    <row r="11423" spans="5:8" x14ac:dyDescent="0.25">
      <c r="E11423" s="34"/>
      <c r="G11423" s="34"/>
      <c r="H11423" s="4"/>
    </row>
    <row r="11424" spans="5:8" x14ac:dyDescent="0.25">
      <c r="E11424" s="34"/>
      <c r="G11424" s="34"/>
      <c r="H11424" s="4"/>
    </row>
    <row r="11425" spans="5:8" x14ac:dyDescent="0.25">
      <c r="E11425" s="34"/>
      <c r="G11425" s="34"/>
      <c r="H11425" s="4"/>
    </row>
    <row r="11426" spans="5:8" x14ac:dyDescent="0.25">
      <c r="E11426" s="34"/>
      <c r="G11426" s="34"/>
      <c r="H11426" s="4"/>
    </row>
    <row r="11427" spans="5:8" x14ac:dyDescent="0.25">
      <c r="E11427" s="34"/>
      <c r="G11427" s="34"/>
      <c r="H11427" s="4"/>
    </row>
    <row r="11428" spans="5:8" x14ac:dyDescent="0.25">
      <c r="E11428" s="34"/>
      <c r="G11428" s="34"/>
      <c r="H11428" s="4"/>
    </row>
    <row r="11429" spans="5:8" x14ac:dyDescent="0.25">
      <c r="E11429" s="34"/>
      <c r="G11429" s="34"/>
      <c r="H11429" s="4"/>
    </row>
    <row r="11430" spans="5:8" x14ac:dyDescent="0.25">
      <c r="E11430" s="34"/>
      <c r="G11430" s="34"/>
      <c r="H11430" s="4"/>
    </row>
    <row r="11431" spans="5:8" x14ac:dyDescent="0.25">
      <c r="E11431" s="34"/>
      <c r="G11431" s="34"/>
      <c r="H11431" s="4"/>
    </row>
    <row r="11432" spans="5:8" x14ac:dyDescent="0.25">
      <c r="E11432" s="34"/>
      <c r="G11432" s="34"/>
      <c r="H11432" s="4"/>
    </row>
    <row r="11433" spans="5:8" x14ac:dyDescent="0.25">
      <c r="E11433" s="34"/>
      <c r="G11433" s="34"/>
      <c r="H11433" s="4"/>
    </row>
    <row r="11434" spans="5:8" x14ac:dyDescent="0.25">
      <c r="E11434" s="34"/>
      <c r="G11434" s="34"/>
      <c r="H11434" s="4"/>
    </row>
    <row r="11435" spans="5:8" x14ac:dyDescent="0.25">
      <c r="E11435" s="34"/>
      <c r="G11435" s="34"/>
      <c r="H11435" s="4"/>
    </row>
    <row r="11436" spans="5:8" x14ac:dyDescent="0.25">
      <c r="E11436" s="34"/>
      <c r="G11436" s="34"/>
      <c r="H11436" s="4"/>
    </row>
    <row r="11437" spans="5:8" x14ac:dyDescent="0.25">
      <c r="E11437" s="34"/>
      <c r="G11437" s="34"/>
      <c r="H11437" s="4"/>
    </row>
    <row r="11438" spans="5:8" x14ac:dyDescent="0.25">
      <c r="E11438" s="34"/>
      <c r="G11438" s="34"/>
      <c r="H11438" s="4"/>
    </row>
    <row r="11439" spans="5:8" x14ac:dyDescent="0.25">
      <c r="E11439" s="34"/>
      <c r="G11439" s="34"/>
      <c r="H11439" s="4"/>
    </row>
    <row r="11440" spans="5:8" x14ac:dyDescent="0.25">
      <c r="E11440" s="34"/>
      <c r="G11440" s="34"/>
      <c r="H11440" s="4"/>
    </row>
    <row r="11441" spans="5:8" x14ac:dyDescent="0.25">
      <c r="E11441" s="34"/>
      <c r="G11441" s="34"/>
      <c r="H11441" s="4"/>
    </row>
    <row r="11442" spans="5:8" x14ac:dyDescent="0.25">
      <c r="E11442" s="34"/>
      <c r="G11442" s="34"/>
      <c r="H11442" s="4"/>
    </row>
    <row r="11443" spans="5:8" x14ac:dyDescent="0.25">
      <c r="E11443" s="34"/>
      <c r="G11443" s="34"/>
      <c r="H11443" s="4"/>
    </row>
    <row r="11444" spans="5:8" x14ac:dyDescent="0.25">
      <c r="E11444" s="34"/>
      <c r="G11444" s="34"/>
      <c r="H11444" s="4"/>
    </row>
    <row r="11445" spans="5:8" x14ac:dyDescent="0.25">
      <c r="E11445" s="34"/>
      <c r="G11445" s="34"/>
      <c r="H11445" s="4"/>
    </row>
    <row r="11446" spans="5:8" x14ac:dyDescent="0.25">
      <c r="E11446" s="34"/>
      <c r="G11446" s="34"/>
      <c r="H11446" s="4"/>
    </row>
    <row r="11447" spans="5:8" x14ac:dyDescent="0.25">
      <c r="E11447" s="34"/>
      <c r="G11447" s="34"/>
      <c r="H11447" s="4"/>
    </row>
    <row r="11448" spans="5:8" x14ac:dyDescent="0.25">
      <c r="E11448" s="34"/>
      <c r="G11448" s="34"/>
      <c r="H11448" s="4"/>
    </row>
    <row r="11449" spans="5:8" x14ac:dyDescent="0.25">
      <c r="E11449" s="34"/>
      <c r="G11449" s="34"/>
      <c r="H11449" s="4"/>
    </row>
    <row r="11450" spans="5:8" x14ac:dyDescent="0.25">
      <c r="E11450" s="34"/>
      <c r="G11450" s="34"/>
      <c r="H11450" s="4"/>
    </row>
    <row r="11451" spans="5:8" x14ac:dyDescent="0.25">
      <c r="E11451" s="34"/>
      <c r="G11451" s="34"/>
      <c r="H11451" s="4"/>
    </row>
    <row r="11452" spans="5:8" x14ac:dyDescent="0.25">
      <c r="E11452" s="34"/>
      <c r="G11452" s="34"/>
      <c r="H11452" s="4"/>
    </row>
    <row r="11453" spans="5:8" x14ac:dyDescent="0.25">
      <c r="E11453" s="34"/>
      <c r="G11453" s="34"/>
      <c r="H11453" s="4"/>
    </row>
    <row r="11454" spans="5:8" x14ac:dyDescent="0.25">
      <c r="E11454" s="34"/>
      <c r="G11454" s="34"/>
      <c r="H11454" s="4"/>
    </row>
    <row r="11455" spans="5:8" x14ac:dyDescent="0.25">
      <c r="E11455" s="34"/>
      <c r="G11455" s="34"/>
      <c r="H11455" s="4"/>
    </row>
    <row r="11456" spans="5:8" x14ac:dyDescent="0.25">
      <c r="E11456" s="34"/>
      <c r="G11456" s="34"/>
      <c r="H11456" s="4"/>
    </row>
    <row r="11457" spans="5:8" x14ac:dyDescent="0.25">
      <c r="E11457" s="34"/>
      <c r="G11457" s="34"/>
      <c r="H11457" s="4"/>
    </row>
    <row r="11458" spans="5:8" x14ac:dyDescent="0.25">
      <c r="E11458" s="34"/>
      <c r="G11458" s="34"/>
      <c r="H11458" s="4"/>
    </row>
    <row r="11459" spans="5:8" x14ac:dyDescent="0.25">
      <c r="E11459" s="34"/>
      <c r="G11459" s="34"/>
      <c r="H11459" s="4"/>
    </row>
    <row r="11460" spans="5:8" x14ac:dyDescent="0.25">
      <c r="E11460" s="34"/>
      <c r="G11460" s="34"/>
      <c r="H11460" s="4"/>
    </row>
    <row r="11461" spans="5:8" x14ac:dyDescent="0.25">
      <c r="E11461" s="34"/>
      <c r="G11461" s="34"/>
      <c r="H11461" s="4"/>
    </row>
    <row r="11462" spans="5:8" x14ac:dyDescent="0.25">
      <c r="E11462" s="34"/>
      <c r="G11462" s="34"/>
      <c r="H11462" s="4"/>
    </row>
    <row r="11463" spans="5:8" x14ac:dyDescent="0.25">
      <c r="E11463" s="34"/>
      <c r="G11463" s="34"/>
      <c r="H11463" s="4"/>
    </row>
    <row r="11464" spans="5:8" x14ac:dyDescent="0.25">
      <c r="E11464" s="34"/>
      <c r="G11464" s="34"/>
      <c r="H11464" s="4"/>
    </row>
    <row r="11465" spans="5:8" x14ac:dyDescent="0.25">
      <c r="E11465" s="34"/>
      <c r="G11465" s="34"/>
      <c r="H11465" s="4"/>
    </row>
    <row r="11466" spans="5:8" x14ac:dyDescent="0.25">
      <c r="E11466" s="34"/>
      <c r="G11466" s="34"/>
      <c r="H11466" s="4"/>
    </row>
    <row r="11467" spans="5:8" x14ac:dyDescent="0.25">
      <c r="E11467" s="34"/>
      <c r="G11467" s="34"/>
      <c r="H11467" s="4"/>
    </row>
    <row r="11468" spans="5:8" x14ac:dyDescent="0.25">
      <c r="E11468" s="34"/>
      <c r="G11468" s="34"/>
      <c r="H11468" s="4"/>
    </row>
    <row r="11469" spans="5:8" x14ac:dyDescent="0.25">
      <c r="E11469" s="34"/>
      <c r="G11469" s="34"/>
      <c r="H11469" s="4"/>
    </row>
    <row r="11470" spans="5:8" x14ac:dyDescent="0.25">
      <c r="E11470" s="34"/>
      <c r="G11470" s="34"/>
      <c r="H11470" s="4"/>
    </row>
    <row r="11471" spans="5:8" x14ac:dyDescent="0.25">
      <c r="E11471" s="34"/>
      <c r="G11471" s="34"/>
      <c r="H11471" s="4"/>
    </row>
    <row r="11472" spans="5:8" x14ac:dyDescent="0.25">
      <c r="E11472" s="34"/>
      <c r="G11472" s="34"/>
      <c r="H11472" s="4"/>
    </row>
    <row r="11473" spans="5:8" x14ac:dyDescent="0.25">
      <c r="E11473" s="34"/>
      <c r="G11473" s="34"/>
      <c r="H11473" s="4"/>
    </row>
    <row r="11474" spans="5:8" x14ac:dyDescent="0.25">
      <c r="E11474" s="34"/>
      <c r="G11474" s="34"/>
      <c r="H11474" s="4"/>
    </row>
    <row r="11475" spans="5:8" x14ac:dyDescent="0.25">
      <c r="E11475" s="34"/>
      <c r="G11475" s="34"/>
      <c r="H11475" s="4"/>
    </row>
    <row r="11476" spans="5:8" x14ac:dyDescent="0.25">
      <c r="E11476" s="34"/>
      <c r="G11476" s="34"/>
      <c r="H11476" s="4"/>
    </row>
    <row r="11477" spans="5:8" x14ac:dyDescent="0.25">
      <c r="E11477" s="34"/>
      <c r="G11477" s="34"/>
      <c r="H11477" s="4"/>
    </row>
    <row r="11478" spans="5:8" x14ac:dyDescent="0.25">
      <c r="E11478" s="34"/>
      <c r="G11478" s="34"/>
      <c r="H11478" s="4"/>
    </row>
    <row r="11479" spans="5:8" x14ac:dyDescent="0.25">
      <c r="E11479" s="34"/>
      <c r="G11479" s="34"/>
      <c r="H11479" s="4"/>
    </row>
    <row r="11480" spans="5:8" x14ac:dyDescent="0.25">
      <c r="E11480" s="34"/>
      <c r="G11480" s="34"/>
      <c r="H11480" s="4"/>
    </row>
    <row r="11481" spans="5:8" x14ac:dyDescent="0.25">
      <c r="E11481" s="34"/>
      <c r="G11481" s="34"/>
      <c r="H11481" s="4"/>
    </row>
    <row r="11482" spans="5:8" x14ac:dyDescent="0.25">
      <c r="E11482" s="34"/>
      <c r="G11482" s="34"/>
      <c r="H11482" s="4"/>
    </row>
    <row r="11483" spans="5:8" x14ac:dyDescent="0.25">
      <c r="E11483" s="34"/>
      <c r="G11483" s="34"/>
      <c r="H11483" s="4"/>
    </row>
    <row r="11484" spans="5:8" x14ac:dyDescent="0.25">
      <c r="E11484" s="34"/>
      <c r="G11484" s="34"/>
      <c r="H11484" s="4"/>
    </row>
    <row r="11485" spans="5:8" x14ac:dyDescent="0.25">
      <c r="E11485" s="34"/>
      <c r="G11485" s="34"/>
      <c r="H11485" s="4"/>
    </row>
    <row r="11486" spans="5:8" x14ac:dyDescent="0.25">
      <c r="E11486" s="34"/>
      <c r="G11486" s="34"/>
      <c r="H11486" s="4"/>
    </row>
    <row r="11487" spans="5:8" x14ac:dyDescent="0.25">
      <c r="E11487" s="34"/>
      <c r="G11487" s="34"/>
      <c r="H11487" s="4"/>
    </row>
    <row r="11488" spans="5:8" x14ac:dyDescent="0.25">
      <c r="E11488" s="34"/>
      <c r="G11488" s="34"/>
      <c r="H11488" s="4"/>
    </row>
    <row r="11489" spans="5:8" x14ac:dyDescent="0.25">
      <c r="E11489" s="34"/>
      <c r="G11489" s="34"/>
      <c r="H11489" s="4"/>
    </row>
    <row r="11490" spans="5:8" x14ac:dyDescent="0.25">
      <c r="E11490" s="34"/>
      <c r="G11490" s="34"/>
      <c r="H11490" s="4"/>
    </row>
    <row r="11491" spans="5:8" x14ac:dyDescent="0.25">
      <c r="E11491" s="34"/>
      <c r="G11491" s="34"/>
      <c r="H11491" s="4"/>
    </row>
    <row r="11492" spans="5:8" x14ac:dyDescent="0.25">
      <c r="E11492" s="34"/>
      <c r="G11492" s="34"/>
      <c r="H11492" s="4"/>
    </row>
    <row r="11493" spans="5:8" x14ac:dyDescent="0.25">
      <c r="E11493" s="34"/>
      <c r="G11493" s="34"/>
      <c r="H11493" s="4"/>
    </row>
    <row r="11494" spans="5:8" x14ac:dyDescent="0.25">
      <c r="E11494" s="34"/>
      <c r="G11494" s="34"/>
      <c r="H11494" s="4"/>
    </row>
    <row r="11495" spans="5:8" x14ac:dyDescent="0.25">
      <c r="E11495" s="34"/>
      <c r="G11495" s="34"/>
      <c r="H11495" s="4"/>
    </row>
    <row r="11496" spans="5:8" x14ac:dyDescent="0.25">
      <c r="E11496" s="34"/>
      <c r="G11496" s="34"/>
      <c r="H11496" s="4"/>
    </row>
    <row r="11497" spans="5:8" x14ac:dyDescent="0.25">
      <c r="E11497" s="34"/>
      <c r="G11497" s="34"/>
      <c r="H11497" s="4"/>
    </row>
    <row r="11498" spans="5:8" x14ac:dyDescent="0.25">
      <c r="E11498" s="34"/>
      <c r="G11498" s="34"/>
      <c r="H11498" s="4"/>
    </row>
    <row r="11499" spans="5:8" x14ac:dyDescent="0.25">
      <c r="E11499" s="34"/>
      <c r="G11499" s="34"/>
      <c r="H11499" s="4"/>
    </row>
    <row r="11500" spans="5:8" x14ac:dyDescent="0.25">
      <c r="E11500" s="34"/>
      <c r="G11500" s="34"/>
      <c r="H11500" s="4"/>
    </row>
    <row r="11501" spans="5:8" x14ac:dyDescent="0.25">
      <c r="E11501" s="34"/>
      <c r="G11501" s="34"/>
      <c r="H11501" s="4"/>
    </row>
    <row r="11502" spans="5:8" x14ac:dyDescent="0.25">
      <c r="E11502" s="34"/>
      <c r="G11502" s="34"/>
      <c r="H11502" s="4"/>
    </row>
    <row r="11503" spans="5:8" x14ac:dyDescent="0.25">
      <c r="E11503" s="34"/>
      <c r="G11503" s="34"/>
      <c r="H11503" s="4"/>
    </row>
    <row r="11504" spans="5:8" x14ac:dyDescent="0.25">
      <c r="E11504" s="34"/>
      <c r="G11504" s="34"/>
      <c r="H11504" s="4"/>
    </row>
    <row r="11505" spans="5:8" x14ac:dyDescent="0.25">
      <c r="E11505" s="34"/>
      <c r="G11505" s="34"/>
      <c r="H11505" s="4"/>
    </row>
    <row r="11506" spans="5:8" x14ac:dyDescent="0.25">
      <c r="E11506" s="34"/>
      <c r="G11506" s="34"/>
      <c r="H11506" s="4"/>
    </row>
    <row r="11507" spans="5:8" x14ac:dyDescent="0.25">
      <c r="E11507" s="34"/>
      <c r="G11507" s="34"/>
      <c r="H11507" s="4"/>
    </row>
    <row r="11508" spans="5:8" x14ac:dyDescent="0.25">
      <c r="E11508" s="34"/>
      <c r="G11508" s="34"/>
      <c r="H11508" s="4"/>
    </row>
    <row r="11509" spans="5:8" x14ac:dyDescent="0.25">
      <c r="E11509" s="34"/>
      <c r="G11509" s="34"/>
      <c r="H11509" s="4"/>
    </row>
    <row r="11510" spans="5:8" x14ac:dyDescent="0.25">
      <c r="E11510" s="34"/>
      <c r="G11510" s="34"/>
      <c r="H11510" s="4"/>
    </row>
    <row r="11511" spans="5:8" x14ac:dyDescent="0.25">
      <c r="E11511" s="34"/>
      <c r="G11511" s="34"/>
      <c r="H11511" s="4"/>
    </row>
    <row r="11512" spans="5:8" x14ac:dyDescent="0.25">
      <c r="E11512" s="34"/>
      <c r="G11512" s="34"/>
      <c r="H11512" s="4"/>
    </row>
    <row r="11513" spans="5:8" x14ac:dyDescent="0.25">
      <c r="E11513" s="34"/>
      <c r="G11513" s="34"/>
      <c r="H11513" s="4"/>
    </row>
    <row r="11514" spans="5:8" x14ac:dyDescent="0.25">
      <c r="E11514" s="34"/>
      <c r="G11514" s="34"/>
      <c r="H11514" s="4"/>
    </row>
    <row r="11515" spans="5:8" x14ac:dyDescent="0.25">
      <c r="E11515" s="34"/>
      <c r="G11515" s="34"/>
      <c r="H11515" s="4"/>
    </row>
    <row r="11516" spans="5:8" x14ac:dyDescent="0.25">
      <c r="E11516" s="34"/>
      <c r="G11516" s="34"/>
      <c r="H11516" s="4"/>
    </row>
    <row r="11517" spans="5:8" x14ac:dyDescent="0.25">
      <c r="E11517" s="34"/>
      <c r="G11517" s="34"/>
      <c r="H11517" s="4"/>
    </row>
    <row r="11518" spans="5:8" x14ac:dyDescent="0.25">
      <c r="E11518" s="34"/>
      <c r="G11518" s="34"/>
      <c r="H11518" s="4"/>
    </row>
    <row r="11519" spans="5:8" x14ac:dyDescent="0.25">
      <c r="E11519" s="34"/>
      <c r="G11519" s="34"/>
      <c r="H11519" s="4"/>
    </row>
    <row r="11520" spans="5:8" x14ac:dyDescent="0.25">
      <c r="E11520" s="34"/>
      <c r="G11520" s="34"/>
      <c r="H11520" s="4"/>
    </row>
    <row r="11521" spans="5:8" x14ac:dyDescent="0.25">
      <c r="E11521" s="34"/>
      <c r="G11521" s="34"/>
      <c r="H11521" s="4"/>
    </row>
    <row r="11522" spans="5:8" x14ac:dyDescent="0.25">
      <c r="E11522" s="34"/>
      <c r="G11522" s="34"/>
      <c r="H11522" s="4"/>
    </row>
    <row r="11523" spans="5:8" x14ac:dyDescent="0.25">
      <c r="E11523" s="34"/>
      <c r="G11523" s="34"/>
      <c r="H11523" s="4"/>
    </row>
    <row r="11524" spans="5:8" x14ac:dyDescent="0.25">
      <c r="E11524" s="34"/>
      <c r="G11524" s="34"/>
      <c r="H11524" s="4"/>
    </row>
    <row r="11525" spans="5:8" x14ac:dyDescent="0.25">
      <c r="E11525" s="34"/>
      <c r="G11525" s="34"/>
      <c r="H11525" s="4"/>
    </row>
    <row r="11526" spans="5:8" x14ac:dyDescent="0.25">
      <c r="E11526" s="34"/>
      <c r="G11526" s="34"/>
      <c r="H11526" s="4"/>
    </row>
    <row r="11527" spans="5:8" x14ac:dyDescent="0.25">
      <c r="E11527" s="34"/>
      <c r="G11527" s="34"/>
      <c r="H11527" s="4"/>
    </row>
    <row r="11528" spans="5:8" x14ac:dyDescent="0.25">
      <c r="E11528" s="34"/>
      <c r="G11528" s="34"/>
      <c r="H11528" s="4"/>
    </row>
    <row r="11529" spans="5:8" x14ac:dyDescent="0.25">
      <c r="E11529" s="34"/>
      <c r="G11529" s="34"/>
      <c r="H11529" s="4"/>
    </row>
    <row r="11530" spans="5:8" x14ac:dyDescent="0.25">
      <c r="E11530" s="34"/>
      <c r="G11530" s="34"/>
      <c r="H11530" s="4"/>
    </row>
    <row r="11531" spans="5:8" x14ac:dyDescent="0.25">
      <c r="E11531" s="34"/>
      <c r="G11531" s="34"/>
      <c r="H11531" s="4"/>
    </row>
    <row r="11532" spans="5:8" x14ac:dyDescent="0.25">
      <c r="E11532" s="34"/>
      <c r="G11532" s="34"/>
      <c r="H11532" s="4"/>
    </row>
    <row r="11533" spans="5:8" x14ac:dyDescent="0.25">
      <c r="E11533" s="34"/>
      <c r="G11533" s="34"/>
      <c r="H11533" s="4"/>
    </row>
    <row r="11534" spans="5:8" x14ac:dyDescent="0.25">
      <c r="E11534" s="34"/>
      <c r="G11534" s="34"/>
      <c r="H11534" s="4"/>
    </row>
    <row r="11535" spans="5:8" x14ac:dyDescent="0.25">
      <c r="E11535" s="34"/>
      <c r="G11535" s="34"/>
      <c r="H11535" s="4"/>
    </row>
    <row r="11536" spans="5:8" x14ac:dyDescent="0.25">
      <c r="E11536" s="34"/>
      <c r="G11536" s="34"/>
      <c r="H11536" s="4"/>
    </row>
    <row r="11537" spans="5:8" x14ac:dyDescent="0.25">
      <c r="E11537" s="34"/>
      <c r="G11537" s="34"/>
      <c r="H11537" s="4"/>
    </row>
    <row r="11538" spans="5:8" x14ac:dyDescent="0.25">
      <c r="E11538" s="34"/>
      <c r="G11538" s="34"/>
      <c r="H11538" s="4"/>
    </row>
    <row r="11539" spans="5:8" x14ac:dyDescent="0.25">
      <c r="E11539" s="34"/>
      <c r="G11539" s="34"/>
      <c r="H11539" s="4"/>
    </row>
    <row r="11540" spans="5:8" x14ac:dyDescent="0.25">
      <c r="E11540" s="34"/>
      <c r="G11540" s="34"/>
      <c r="H11540" s="4"/>
    </row>
    <row r="11541" spans="5:8" x14ac:dyDescent="0.25">
      <c r="E11541" s="34"/>
      <c r="G11541" s="34"/>
      <c r="H11541" s="4"/>
    </row>
    <row r="11542" spans="5:8" x14ac:dyDescent="0.25">
      <c r="E11542" s="34"/>
      <c r="G11542" s="34"/>
      <c r="H11542" s="4"/>
    </row>
    <row r="11543" spans="5:8" x14ac:dyDescent="0.25">
      <c r="E11543" s="34"/>
      <c r="G11543" s="34"/>
      <c r="H11543" s="4"/>
    </row>
    <row r="11544" spans="5:8" x14ac:dyDescent="0.25">
      <c r="E11544" s="34"/>
      <c r="G11544" s="34"/>
      <c r="H11544" s="4"/>
    </row>
    <row r="11545" spans="5:8" x14ac:dyDescent="0.25">
      <c r="E11545" s="34"/>
      <c r="G11545" s="34"/>
      <c r="H11545" s="4"/>
    </row>
    <row r="11546" spans="5:8" x14ac:dyDescent="0.25">
      <c r="E11546" s="34"/>
      <c r="G11546" s="34"/>
      <c r="H11546" s="4"/>
    </row>
    <row r="11547" spans="5:8" x14ac:dyDescent="0.25">
      <c r="E11547" s="34"/>
      <c r="G11547" s="34"/>
      <c r="H11547" s="4"/>
    </row>
    <row r="11548" spans="5:8" x14ac:dyDescent="0.25">
      <c r="E11548" s="34"/>
      <c r="G11548" s="34"/>
      <c r="H11548" s="4"/>
    </row>
    <row r="11549" spans="5:8" x14ac:dyDescent="0.25">
      <c r="E11549" s="34"/>
      <c r="G11549" s="34"/>
      <c r="H11549" s="4"/>
    </row>
    <row r="11550" spans="5:8" x14ac:dyDescent="0.25">
      <c r="E11550" s="34"/>
      <c r="G11550" s="34"/>
      <c r="H11550" s="4"/>
    </row>
    <row r="11551" spans="5:8" x14ac:dyDescent="0.25">
      <c r="E11551" s="34"/>
      <c r="G11551" s="34"/>
      <c r="H11551" s="4"/>
    </row>
    <row r="11552" spans="5:8" x14ac:dyDescent="0.25">
      <c r="E11552" s="34"/>
      <c r="G11552" s="34"/>
      <c r="H11552" s="4"/>
    </row>
    <row r="11553" spans="5:8" x14ac:dyDescent="0.25">
      <c r="E11553" s="34"/>
      <c r="G11553" s="34"/>
      <c r="H11553" s="4"/>
    </row>
    <row r="11554" spans="5:8" x14ac:dyDescent="0.25">
      <c r="E11554" s="34"/>
      <c r="G11554" s="34"/>
      <c r="H11554" s="4"/>
    </row>
    <row r="11555" spans="5:8" x14ac:dyDescent="0.25">
      <c r="E11555" s="34"/>
      <c r="G11555" s="34"/>
      <c r="H11555" s="4"/>
    </row>
    <row r="11556" spans="5:8" x14ac:dyDescent="0.25">
      <c r="E11556" s="34"/>
      <c r="G11556" s="34"/>
      <c r="H11556" s="4"/>
    </row>
    <row r="11557" spans="5:8" x14ac:dyDescent="0.25">
      <c r="E11557" s="34"/>
      <c r="G11557" s="34"/>
      <c r="H11557" s="4"/>
    </row>
    <row r="11558" spans="5:8" x14ac:dyDescent="0.25">
      <c r="E11558" s="34"/>
      <c r="G11558" s="34"/>
      <c r="H11558" s="4"/>
    </row>
    <row r="11559" spans="5:8" x14ac:dyDescent="0.25">
      <c r="E11559" s="34"/>
      <c r="G11559" s="34"/>
      <c r="H11559" s="4"/>
    </row>
    <row r="11560" spans="5:8" x14ac:dyDescent="0.25">
      <c r="E11560" s="34"/>
      <c r="G11560" s="34"/>
      <c r="H11560" s="4"/>
    </row>
    <row r="11561" spans="5:8" x14ac:dyDescent="0.25">
      <c r="E11561" s="34"/>
      <c r="G11561" s="34"/>
      <c r="H11561" s="4"/>
    </row>
    <row r="11562" spans="5:8" x14ac:dyDescent="0.25">
      <c r="E11562" s="34"/>
      <c r="G11562" s="34"/>
      <c r="H11562" s="4"/>
    </row>
    <row r="11563" spans="5:8" x14ac:dyDescent="0.25">
      <c r="E11563" s="34"/>
      <c r="G11563" s="34"/>
      <c r="H11563" s="4"/>
    </row>
    <row r="11564" spans="5:8" x14ac:dyDescent="0.25">
      <c r="E11564" s="34"/>
      <c r="G11564" s="34"/>
      <c r="H11564" s="4"/>
    </row>
    <row r="11565" spans="5:8" x14ac:dyDescent="0.25">
      <c r="E11565" s="34"/>
      <c r="G11565" s="34"/>
      <c r="H11565" s="4"/>
    </row>
    <row r="11566" spans="5:8" x14ac:dyDescent="0.25">
      <c r="E11566" s="34"/>
      <c r="G11566" s="34"/>
      <c r="H11566" s="4"/>
    </row>
    <row r="11567" spans="5:8" x14ac:dyDescent="0.25">
      <c r="E11567" s="34"/>
      <c r="G11567" s="34"/>
      <c r="H11567" s="4"/>
    </row>
    <row r="11568" spans="5:8" x14ac:dyDescent="0.25">
      <c r="E11568" s="34"/>
      <c r="G11568" s="34"/>
      <c r="H11568" s="4"/>
    </row>
    <row r="11569" spans="5:8" x14ac:dyDescent="0.25">
      <c r="E11569" s="34"/>
      <c r="G11569" s="34"/>
      <c r="H11569" s="4"/>
    </row>
    <row r="11570" spans="5:8" x14ac:dyDescent="0.25">
      <c r="E11570" s="34"/>
      <c r="G11570" s="34"/>
      <c r="H11570" s="4"/>
    </row>
    <row r="11571" spans="5:8" x14ac:dyDescent="0.25">
      <c r="E11571" s="34"/>
      <c r="G11571" s="34"/>
      <c r="H11571" s="4"/>
    </row>
    <row r="11572" spans="5:8" x14ac:dyDescent="0.25">
      <c r="E11572" s="34"/>
      <c r="G11572" s="34"/>
      <c r="H11572" s="4"/>
    </row>
    <row r="11573" spans="5:8" x14ac:dyDescent="0.25">
      <c r="E11573" s="34"/>
      <c r="G11573" s="34"/>
      <c r="H11573" s="4"/>
    </row>
    <row r="11574" spans="5:8" x14ac:dyDescent="0.25">
      <c r="E11574" s="34"/>
      <c r="G11574" s="34"/>
      <c r="H11574" s="4"/>
    </row>
    <row r="11575" spans="5:8" x14ac:dyDescent="0.25">
      <c r="E11575" s="34"/>
      <c r="G11575" s="34"/>
      <c r="H11575" s="4"/>
    </row>
    <row r="11576" spans="5:8" x14ac:dyDescent="0.25">
      <c r="E11576" s="34"/>
      <c r="G11576" s="34"/>
      <c r="H11576" s="4"/>
    </row>
    <row r="11577" spans="5:8" x14ac:dyDescent="0.25">
      <c r="E11577" s="34"/>
      <c r="G11577" s="34"/>
      <c r="H11577" s="4"/>
    </row>
    <row r="11578" spans="5:8" x14ac:dyDescent="0.25">
      <c r="E11578" s="34"/>
      <c r="G11578" s="34"/>
      <c r="H11578" s="4"/>
    </row>
    <row r="11579" spans="5:8" x14ac:dyDescent="0.25">
      <c r="E11579" s="34"/>
      <c r="G11579" s="34"/>
      <c r="H11579" s="4"/>
    </row>
    <row r="11580" spans="5:8" x14ac:dyDescent="0.25">
      <c r="E11580" s="34"/>
      <c r="G11580" s="34"/>
      <c r="H11580" s="4"/>
    </row>
    <row r="11581" spans="5:8" x14ac:dyDescent="0.25">
      <c r="E11581" s="34"/>
      <c r="G11581" s="34"/>
      <c r="H11581" s="4"/>
    </row>
    <row r="11582" spans="5:8" x14ac:dyDescent="0.25">
      <c r="E11582" s="34"/>
      <c r="G11582" s="34"/>
      <c r="H11582" s="4"/>
    </row>
    <row r="11583" spans="5:8" x14ac:dyDescent="0.25">
      <c r="E11583" s="34"/>
      <c r="G11583" s="34"/>
      <c r="H11583" s="4"/>
    </row>
    <row r="11584" spans="5:8" x14ac:dyDescent="0.25">
      <c r="E11584" s="34"/>
      <c r="G11584" s="34"/>
      <c r="H11584" s="4"/>
    </row>
    <row r="11585" spans="5:8" x14ac:dyDescent="0.25">
      <c r="E11585" s="34"/>
      <c r="G11585" s="34"/>
      <c r="H11585" s="4"/>
    </row>
    <row r="11586" spans="5:8" x14ac:dyDescent="0.25">
      <c r="E11586" s="34"/>
      <c r="G11586" s="34"/>
      <c r="H11586" s="4"/>
    </row>
    <row r="11587" spans="5:8" x14ac:dyDescent="0.25">
      <c r="E11587" s="34"/>
      <c r="G11587" s="34"/>
      <c r="H11587" s="4"/>
    </row>
    <row r="11588" spans="5:8" x14ac:dyDescent="0.25">
      <c r="E11588" s="34"/>
      <c r="G11588" s="34"/>
      <c r="H11588" s="4"/>
    </row>
    <row r="11589" spans="5:8" x14ac:dyDescent="0.25">
      <c r="E11589" s="34"/>
      <c r="G11589" s="34"/>
      <c r="H11589" s="4"/>
    </row>
    <row r="11590" spans="5:8" x14ac:dyDescent="0.25">
      <c r="E11590" s="34"/>
      <c r="G11590" s="34"/>
      <c r="H11590" s="4"/>
    </row>
    <row r="11591" spans="5:8" x14ac:dyDescent="0.25">
      <c r="E11591" s="34"/>
      <c r="G11591" s="34"/>
      <c r="H11591" s="4"/>
    </row>
    <row r="11592" spans="5:8" x14ac:dyDescent="0.25">
      <c r="E11592" s="34"/>
      <c r="G11592" s="34"/>
      <c r="H11592" s="4"/>
    </row>
    <row r="11593" spans="5:8" x14ac:dyDescent="0.25">
      <c r="E11593" s="34"/>
      <c r="G11593" s="34"/>
      <c r="H11593" s="4"/>
    </row>
    <row r="11594" spans="5:8" x14ac:dyDescent="0.25">
      <c r="E11594" s="34"/>
      <c r="G11594" s="34"/>
      <c r="H11594" s="4"/>
    </row>
    <row r="11595" spans="5:8" x14ac:dyDescent="0.25">
      <c r="E11595" s="34"/>
      <c r="G11595" s="34"/>
      <c r="H11595" s="4"/>
    </row>
    <row r="11596" spans="5:8" x14ac:dyDescent="0.25">
      <c r="E11596" s="34"/>
      <c r="G11596" s="34"/>
      <c r="H11596" s="4"/>
    </row>
    <row r="11597" spans="5:8" x14ac:dyDescent="0.25">
      <c r="E11597" s="34"/>
      <c r="G11597" s="34"/>
      <c r="H11597" s="4"/>
    </row>
    <row r="11598" spans="5:8" x14ac:dyDescent="0.25">
      <c r="E11598" s="34"/>
      <c r="G11598" s="34"/>
      <c r="H11598" s="4"/>
    </row>
    <row r="11599" spans="5:8" x14ac:dyDescent="0.25">
      <c r="E11599" s="34"/>
      <c r="G11599" s="34"/>
      <c r="H11599" s="4"/>
    </row>
    <row r="11600" spans="5:8" x14ac:dyDescent="0.25">
      <c r="E11600" s="34"/>
      <c r="G11600" s="34"/>
      <c r="H11600" s="4"/>
    </row>
    <row r="11601" spans="5:8" x14ac:dyDescent="0.25">
      <c r="E11601" s="34"/>
      <c r="G11601" s="34"/>
      <c r="H11601" s="4"/>
    </row>
    <row r="11602" spans="5:8" x14ac:dyDescent="0.25">
      <c r="E11602" s="34"/>
      <c r="G11602" s="34"/>
      <c r="H11602" s="4"/>
    </row>
    <row r="11603" spans="5:8" x14ac:dyDescent="0.25">
      <c r="E11603" s="34"/>
      <c r="G11603" s="34"/>
      <c r="H11603" s="4"/>
    </row>
    <row r="11604" spans="5:8" x14ac:dyDescent="0.25">
      <c r="E11604" s="34"/>
      <c r="G11604" s="34"/>
      <c r="H11604" s="4"/>
    </row>
    <row r="11605" spans="5:8" x14ac:dyDescent="0.25">
      <c r="E11605" s="34"/>
      <c r="G11605" s="34"/>
      <c r="H11605" s="4"/>
    </row>
    <row r="11606" spans="5:8" x14ac:dyDescent="0.25">
      <c r="E11606" s="34"/>
      <c r="G11606" s="34"/>
      <c r="H11606" s="4"/>
    </row>
    <row r="11607" spans="5:8" x14ac:dyDescent="0.25">
      <c r="E11607" s="34"/>
      <c r="G11607" s="34"/>
      <c r="H11607" s="4"/>
    </row>
    <row r="11608" spans="5:8" x14ac:dyDescent="0.25">
      <c r="E11608" s="34"/>
      <c r="G11608" s="34"/>
      <c r="H11608" s="4"/>
    </row>
    <row r="11609" spans="5:8" x14ac:dyDescent="0.25">
      <c r="E11609" s="34"/>
      <c r="G11609" s="34"/>
      <c r="H11609" s="4"/>
    </row>
    <row r="11610" spans="5:8" x14ac:dyDescent="0.25">
      <c r="E11610" s="34"/>
      <c r="G11610" s="34"/>
      <c r="H11610" s="4"/>
    </row>
    <row r="11611" spans="5:8" x14ac:dyDescent="0.25">
      <c r="E11611" s="34"/>
      <c r="G11611" s="34"/>
      <c r="H11611" s="4"/>
    </row>
    <row r="11612" spans="5:8" x14ac:dyDescent="0.25">
      <c r="E11612" s="34"/>
      <c r="G11612" s="34"/>
      <c r="H11612" s="4"/>
    </row>
    <row r="11613" spans="5:8" x14ac:dyDescent="0.25">
      <c r="E11613" s="34"/>
      <c r="G11613" s="34"/>
      <c r="H11613" s="4"/>
    </row>
    <row r="11614" spans="5:8" x14ac:dyDescent="0.25">
      <c r="E11614" s="34"/>
      <c r="G11614" s="34"/>
      <c r="H11614" s="4"/>
    </row>
    <row r="11615" spans="5:8" x14ac:dyDescent="0.25">
      <c r="E11615" s="34"/>
      <c r="G11615" s="34"/>
      <c r="H11615" s="4"/>
    </row>
    <row r="11616" spans="5:8" x14ac:dyDescent="0.25">
      <c r="E11616" s="34"/>
      <c r="G11616" s="34"/>
      <c r="H11616" s="4"/>
    </row>
    <row r="11617" spans="5:8" x14ac:dyDescent="0.25">
      <c r="E11617" s="34"/>
      <c r="G11617" s="34"/>
      <c r="H11617" s="4"/>
    </row>
    <row r="11618" spans="5:8" x14ac:dyDescent="0.25">
      <c r="E11618" s="34"/>
      <c r="G11618" s="34"/>
      <c r="H11618" s="4"/>
    </row>
    <row r="11619" spans="5:8" x14ac:dyDescent="0.25">
      <c r="E11619" s="34"/>
      <c r="G11619" s="34"/>
      <c r="H11619" s="4"/>
    </row>
    <row r="11620" spans="5:8" x14ac:dyDescent="0.25">
      <c r="E11620" s="34"/>
      <c r="G11620" s="34"/>
      <c r="H11620" s="4"/>
    </row>
    <row r="11621" spans="5:8" x14ac:dyDescent="0.25">
      <c r="E11621" s="34"/>
      <c r="G11621" s="34"/>
      <c r="H11621" s="4"/>
    </row>
    <row r="11622" spans="5:8" x14ac:dyDescent="0.25">
      <c r="E11622" s="34"/>
      <c r="G11622" s="34"/>
      <c r="H11622" s="4"/>
    </row>
    <row r="11623" spans="5:8" x14ac:dyDescent="0.25">
      <c r="E11623" s="34"/>
      <c r="G11623" s="34"/>
      <c r="H11623" s="4"/>
    </row>
    <row r="11624" spans="5:8" x14ac:dyDescent="0.25">
      <c r="E11624" s="34"/>
      <c r="G11624" s="34"/>
      <c r="H11624" s="4"/>
    </row>
    <row r="11625" spans="5:8" x14ac:dyDescent="0.25">
      <c r="E11625" s="34"/>
      <c r="G11625" s="34"/>
      <c r="H11625" s="4"/>
    </row>
    <row r="11626" spans="5:8" x14ac:dyDescent="0.25">
      <c r="E11626" s="34"/>
      <c r="G11626" s="34"/>
      <c r="H11626" s="4"/>
    </row>
    <row r="11627" spans="5:8" x14ac:dyDescent="0.25">
      <c r="E11627" s="34"/>
      <c r="G11627" s="34"/>
      <c r="H11627" s="4"/>
    </row>
    <row r="11628" spans="5:8" x14ac:dyDescent="0.25">
      <c r="E11628" s="34"/>
      <c r="G11628" s="34"/>
      <c r="H11628" s="4"/>
    </row>
    <row r="11629" spans="5:8" x14ac:dyDescent="0.25">
      <c r="E11629" s="34"/>
      <c r="G11629" s="34"/>
      <c r="H11629" s="4"/>
    </row>
    <row r="11630" spans="5:8" x14ac:dyDescent="0.25">
      <c r="E11630" s="34"/>
      <c r="G11630" s="34"/>
      <c r="H11630" s="4"/>
    </row>
    <row r="11631" spans="5:8" x14ac:dyDescent="0.25">
      <c r="E11631" s="34"/>
      <c r="G11631" s="34"/>
      <c r="H11631" s="4"/>
    </row>
    <row r="11632" spans="5:8" x14ac:dyDescent="0.25">
      <c r="E11632" s="34"/>
      <c r="G11632" s="34"/>
      <c r="H11632" s="4"/>
    </row>
    <row r="11633" spans="5:8" x14ac:dyDescent="0.25">
      <c r="E11633" s="34"/>
      <c r="G11633" s="34"/>
      <c r="H11633" s="4"/>
    </row>
    <row r="11634" spans="5:8" x14ac:dyDescent="0.25">
      <c r="E11634" s="34"/>
      <c r="G11634" s="34"/>
      <c r="H11634" s="4"/>
    </row>
    <row r="11635" spans="5:8" x14ac:dyDescent="0.25">
      <c r="E11635" s="34"/>
      <c r="G11635" s="34"/>
      <c r="H11635" s="4"/>
    </row>
    <row r="11636" spans="5:8" x14ac:dyDescent="0.25">
      <c r="E11636" s="34"/>
      <c r="G11636" s="34"/>
      <c r="H11636" s="4"/>
    </row>
    <row r="11637" spans="5:8" x14ac:dyDescent="0.25">
      <c r="E11637" s="34"/>
      <c r="G11637" s="34"/>
      <c r="H11637" s="4"/>
    </row>
    <row r="11638" spans="5:8" x14ac:dyDescent="0.25">
      <c r="E11638" s="34"/>
      <c r="G11638" s="34"/>
      <c r="H11638" s="4"/>
    </row>
    <row r="11639" spans="5:8" x14ac:dyDescent="0.25">
      <c r="E11639" s="34"/>
      <c r="G11639" s="34"/>
      <c r="H11639" s="4"/>
    </row>
    <row r="11640" spans="5:8" x14ac:dyDescent="0.25">
      <c r="E11640" s="34"/>
      <c r="G11640" s="34"/>
      <c r="H11640" s="4"/>
    </row>
    <row r="11641" spans="5:8" x14ac:dyDescent="0.25">
      <c r="E11641" s="34"/>
      <c r="G11641" s="34"/>
      <c r="H11641" s="4"/>
    </row>
    <row r="11642" spans="5:8" x14ac:dyDescent="0.25">
      <c r="E11642" s="34"/>
      <c r="G11642" s="34"/>
      <c r="H11642" s="4"/>
    </row>
    <row r="11643" spans="5:8" x14ac:dyDescent="0.25">
      <c r="E11643" s="34"/>
      <c r="G11643" s="34"/>
      <c r="H11643" s="4"/>
    </row>
    <row r="11644" spans="5:8" x14ac:dyDescent="0.25">
      <c r="E11644" s="34"/>
      <c r="G11644" s="34"/>
      <c r="H11644" s="4"/>
    </row>
    <row r="11645" spans="5:8" x14ac:dyDescent="0.25">
      <c r="E11645" s="34"/>
      <c r="G11645" s="34"/>
      <c r="H11645" s="4"/>
    </row>
    <row r="11646" spans="5:8" x14ac:dyDescent="0.25">
      <c r="E11646" s="34"/>
      <c r="G11646" s="34"/>
      <c r="H11646" s="4"/>
    </row>
    <row r="11647" spans="5:8" x14ac:dyDescent="0.25">
      <c r="E11647" s="34"/>
      <c r="G11647" s="34"/>
      <c r="H11647" s="4"/>
    </row>
    <row r="11648" spans="5:8" x14ac:dyDescent="0.25">
      <c r="E11648" s="34"/>
      <c r="G11648" s="34"/>
      <c r="H11648" s="4"/>
    </row>
    <row r="11649" spans="5:8" x14ac:dyDescent="0.25">
      <c r="E11649" s="34"/>
      <c r="G11649" s="34"/>
      <c r="H11649" s="4"/>
    </row>
    <row r="11650" spans="5:8" x14ac:dyDescent="0.25">
      <c r="E11650" s="34"/>
      <c r="G11650" s="34"/>
      <c r="H11650" s="4"/>
    </row>
    <row r="11651" spans="5:8" x14ac:dyDescent="0.25">
      <c r="E11651" s="34"/>
      <c r="G11651" s="34"/>
      <c r="H11651" s="4"/>
    </row>
    <row r="11652" spans="5:8" x14ac:dyDescent="0.25">
      <c r="E11652" s="34"/>
      <c r="G11652" s="34"/>
      <c r="H11652" s="4"/>
    </row>
    <row r="11653" spans="5:8" x14ac:dyDescent="0.25">
      <c r="E11653" s="34"/>
      <c r="G11653" s="34"/>
      <c r="H11653" s="4"/>
    </row>
    <row r="11654" spans="5:8" x14ac:dyDescent="0.25">
      <c r="E11654" s="34"/>
      <c r="G11654" s="34"/>
      <c r="H11654" s="4"/>
    </row>
    <row r="11655" spans="5:8" x14ac:dyDescent="0.25">
      <c r="E11655" s="34"/>
      <c r="G11655" s="34"/>
      <c r="H11655" s="4"/>
    </row>
    <row r="11656" spans="5:8" x14ac:dyDescent="0.25">
      <c r="E11656" s="34"/>
      <c r="G11656" s="34"/>
      <c r="H11656" s="4"/>
    </row>
    <row r="11657" spans="5:8" x14ac:dyDescent="0.25">
      <c r="E11657" s="34"/>
      <c r="G11657" s="34"/>
      <c r="H11657" s="4"/>
    </row>
    <row r="11658" spans="5:8" x14ac:dyDescent="0.25">
      <c r="E11658" s="34"/>
      <c r="G11658" s="34"/>
      <c r="H11658" s="4"/>
    </row>
    <row r="11659" spans="5:8" x14ac:dyDescent="0.25">
      <c r="E11659" s="34"/>
      <c r="G11659" s="34"/>
      <c r="H11659" s="4"/>
    </row>
    <row r="11660" spans="5:8" x14ac:dyDescent="0.25">
      <c r="E11660" s="34"/>
      <c r="G11660" s="34"/>
      <c r="H11660" s="4"/>
    </row>
    <row r="11661" spans="5:8" x14ac:dyDescent="0.25">
      <c r="E11661" s="34"/>
      <c r="G11661" s="34"/>
      <c r="H11661" s="4"/>
    </row>
    <row r="11662" spans="5:8" x14ac:dyDescent="0.25">
      <c r="E11662" s="34"/>
      <c r="G11662" s="34"/>
      <c r="H11662" s="4"/>
    </row>
    <row r="11663" spans="5:8" x14ac:dyDescent="0.25">
      <c r="E11663" s="34"/>
      <c r="G11663" s="34"/>
      <c r="H11663" s="4"/>
    </row>
    <row r="11664" spans="5:8" x14ac:dyDescent="0.25">
      <c r="E11664" s="34"/>
      <c r="G11664" s="34"/>
      <c r="H11664" s="4"/>
    </row>
    <row r="11665" spans="5:8" x14ac:dyDescent="0.25">
      <c r="E11665" s="34"/>
      <c r="G11665" s="34"/>
      <c r="H11665" s="4"/>
    </row>
    <row r="11666" spans="5:8" x14ac:dyDescent="0.25">
      <c r="E11666" s="34"/>
      <c r="G11666" s="34"/>
      <c r="H11666" s="4"/>
    </row>
    <row r="11667" spans="5:8" x14ac:dyDescent="0.25">
      <c r="E11667" s="34"/>
      <c r="G11667" s="34"/>
      <c r="H11667" s="4"/>
    </row>
    <row r="11668" spans="5:8" x14ac:dyDescent="0.25">
      <c r="E11668" s="34"/>
      <c r="G11668" s="34"/>
      <c r="H11668" s="4"/>
    </row>
    <row r="11669" spans="5:8" x14ac:dyDescent="0.25">
      <c r="E11669" s="34"/>
      <c r="G11669" s="34"/>
      <c r="H11669" s="4"/>
    </row>
    <row r="11670" spans="5:8" x14ac:dyDescent="0.25">
      <c r="E11670" s="34"/>
      <c r="G11670" s="34"/>
      <c r="H11670" s="4"/>
    </row>
    <row r="11671" spans="5:8" x14ac:dyDescent="0.25">
      <c r="E11671" s="34"/>
      <c r="G11671" s="34"/>
      <c r="H11671" s="4"/>
    </row>
    <row r="11672" spans="5:8" x14ac:dyDescent="0.25">
      <c r="E11672" s="34"/>
      <c r="G11672" s="34"/>
      <c r="H11672" s="4"/>
    </row>
    <row r="11673" spans="5:8" x14ac:dyDescent="0.25">
      <c r="E11673" s="34"/>
      <c r="G11673" s="34"/>
      <c r="H11673" s="4"/>
    </row>
    <row r="11674" spans="5:8" x14ac:dyDescent="0.25">
      <c r="E11674" s="34"/>
      <c r="G11674" s="34"/>
      <c r="H11674" s="4"/>
    </row>
    <row r="11675" spans="5:8" x14ac:dyDescent="0.25">
      <c r="E11675" s="34"/>
      <c r="G11675" s="34"/>
      <c r="H11675" s="4"/>
    </row>
    <row r="11676" spans="5:8" x14ac:dyDescent="0.25">
      <c r="E11676" s="34"/>
      <c r="G11676" s="34"/>
      <c r="H11676" s="4"/>
    </row>
    <row r="11677" spans="5:8" x14ac:dyDescent="0.25">
      <c r="E11677" s="34"/>
      <c r="G11677" s="34"/>
      <c r="H11677" s="4"/>
    </row>
    <row r="11678" spans="5:8" x14ac:dyDescent="0.25">
      <c r="E11678" s="34"/>
      <c r="G11678" s="34"/>
      <c r="H11678" s="4"/>
    </row>
    <row r="11679" spans="5:8" x14ac:dyDescent="0.25">
      <c r="E11679" s="34"/>
      <c r="G11679" s="34"/>
      <c r="H11679" s="4"/>
    </row>
    <row r="11680" spans="5:8" x14ac:dyDescent="0.25">
      <c r="E11680" s="34"/>
      <c r="G11680" s="34"/>
      <c r="H11680" s="4"/>
    </row>
    <row r="11681" spans="5:8" x14ac:dyDescent="0.25">
      <c r="E11681" s="34"/>
      <c r="G11681" s="34"/>
      <c r="H11681" s="4"/>
    </row>
    <row r="11682" spans="5:8" x14ac:dyDescent="0.25">
      <c r="E11682" s="34"/>
      <c r="G11682" s="34"/>
      <c r="H11682" s="4"/>
    </row>
    <row r="11683" spans="5:8" x14ac:dyDescent="0.25">
      <c r="E11683" s="34"/>
      <c r="G11683" s="34"/>
      <c r="H11683" s="4"/>
    </row>
    <row r="11684" spans="5:8" x14ac:dyDescent="0.25">
      <c r="E11684" s="34"/>
      <c r="G11684" s="34"/>
      <c r="H11684" s="4"/>
    </row>
    <row r="11685" spans="5:8" x14ac:dyDescent="0.25">
      <c r="E11685" s="34"/>
      <c r="G11685" s="34"/>
      <c r="H11685" s="4"/>
    </row>
    <row r="11686" spans="5:8" x14ac:dyDescent="0.25">
      <c r="E11686" s="34"/>
      <c r="G11686" s="34"/>
      <c r="H11686" s="4"/>
    </row>
    <row r="11687" spans="5:8" x14ac:dyDescent="0.25">
      <c r="E11687" s="34"/>
      <c r="G11687" s="34"/>
      <c r="H11687" s="4"/>
    </row>
    <row r="11688" spans="5:8" x14ac:dyDescent="0.25">
      <c r="E11688" s="34"/>
      <c r="G11688" s="34"/>
      <c r="H11688" s="4"/>
    </row>
    <row r="11689" spans="5:8" x14ac:dyDescent="0.25">
      <c r="E11689" s="34"/>
      <c r="G11689" s="34"/>
      <c r="H11689" s="4"/>
    </row>
    <row r="11690" spans="5:8" x14ac:dyDescent="0.25">
      <c r="E11690" s="34"/>
      <c r="G11690" s="34"/>
      <c r="H11690" s="4"/>
    </row>
    <row r="11691" spans="5:8" x14ac:dyDescent="0.25">
      <c r="E11691" s="34"/>
      <c r="G11691" s="34"/>
      <c r="H11691" s="4"/>
    </row>
    <row r="11692" spans="5:8" x14ac:dyDescent="0.25">
      <c r="E11692" s="34"/>
      <c r="G11692" s="34"/>
      <c r="H11692" s="4"/>
    </row>
    <row r="11693" spans="5:8" x14ac:dyDescent="0.25">
      <c r="E11693" s="34"/>
      <c r="G11693" s="34"/>
      <c r="H11693" s="4"/>
    </row>
    <row r="11694" spans="5:8" x14ac:dyDescent="0.25">
      <c r="E11694" s="34"/>
      <c r="G11694" s="34"/>
      <c r="H11694" s="4"/>
    </row>
    <row r="11695" spans="5:8" x14ac:dyDescent="0.25">
      <c r="E11695" s="34"/>
      <c r="G11695" s="34"/>
      <c r="H11695" s="4"/>
    </row>
    <row r="11696" spans="5:8" x14ac:dyDescent="0.25">
      <c r="E11696" s="34"/>
      <c r="G11696" s="34"/>
      <c r="H11696" s="4"/>
    </row>
    <row r="11697" spans="5:8" x14ac:dyDescent="0.25">
      <c r="E11697" s="34"/>
      <c r="G11697" s="34"/>
      <c r="H11697" s="4"/>
    </row>
    <row r="11698" spans="5:8" x14ac:dyDescent="0.25">
      <c r="E11698" s="34"/>
      <c r="G11698" s="34"/>
      <c r="H11698" s="4"/>
    </row>
    <row r="11699" spans="5:8" x14ac:dyDescent="0.25">
      <c r="E11699" s="34"/>
      <c r="G11699" s="34"/>
      <c r="H11699" s="4"/>
    </row>
    <row r="11700" spans="5:8" x14ac:dyDescent="0.25">
      <c r="E11700" s="34"/>
      <c r="G11700" s="34"/>
      <c r="H11700" s="4"/>
    </row>
    <row r="11701" spans="5:8" x14ac:dyDescent="0.25">
      <c r="E11701" s="34"/>
      <c r="G11701" s="34"/>
      <c r="H11701" s="4"/>
    </row>
    <row r="11702" spans="5:8" x14ac:dyDescent="0.25">
      <c r="E11702" s="34"/>
      <c r="G11702" s="34"/>
      <c r="H11702" s="4"/>
    </row>
    <row r="11703" spans="5:8" x14ac:dyDescent="0.25">
      <c r="E11703" s="34"/>
      <c r="G11703" s="34"/>
      <c r="H11703" s="4"/>
    </row>
    <row r="11704" spans="5:8" x14ac:dyDescent="0.25">
      <c r="E11704" s="34"/>
      <c r="G11704" s="34"/>
      <c r="H11704" s="4"/>
    </row>
    <row r="11705" spans="5:8" x14ac:dyDescent="0.25">
      <c r="E11705" s="34"/>
      <c r="G11705" s="34"/>
      <c r="H11705" s="4"/>
    </row>
    <row r="11706" spans="5:8" x14ac:dyDescent="0.25">
      <c r="E11706" s="34"/>
      <c r="G11706" s="34"/>
      <c r="H11706" s="4"/>
    </row>
    <row r="11707" spans="5:8" x14ac:dyDescent="0.25">
      <c r="E11707" s="34"/>
      <c r="G11707" s="34"/>
      <c r="H11707" s="4"/>
    </row>
    <row r="11708" spans="5:8" x14ac:dyDescent="0.25">
      <c r="E11708" s="34"/>
      <c r="G11708" s="34"/>
      <c r="H11708" s="4"/>
    </row>
    <row r="11709" spans="5:8" x14ac:dyDescent="0.25">
      <c r="E11709" s="34"/>
      <c r="G11709" s="34"/>
      <c r="H11709" s="4"/>
    </row>
    <row r="11710" spans="5:8" x14ac:dyDescent="0.25">
      <c r="E11710" s="34"/>
      <c r="G11710" s="34"/>
      <c r="H11710" s="4"/>
    </row>
    <row r="11711" spans="5:8" x14ac:dyDescent="0.25">
      <c r="E11711" s="34"/>
      <c r="G11711" s="34"/>
      <c r="H11711" s="4"/>
    </row>
    <row r="11712" spans="5:8" x14ac:dyDescent="0.25">
      <c r="E11712" s="34"/>
      <c r="G11712" s="34"/>
      <c r="H11712" s="4"/>
    </row>
    <row r="11713" spans="5:8" x14ac:dyDescent="0.25">
      <c r="E11713" s="34"/>
      <c r="G11713" s="34"/>
      <c r="H11713" s="4"/>
    </row>
    <row r="11714" spans="5:8" x14ac:dyDescent="0.25">
      <c r="E11714" s="34"/>
      <c r="G11714" s="34"/>
      <c r="H11714" s="4"/>
    </row>
    <row r="11715" spans="5:8" x14ac:dyDescent="0.25">
      <c r="E11715" s="34"/>
      <c r="G11715" s="34"/>
      <c r="H11715" s="4"/>
    </row>
    <row r="11716" spans="5:8" x14ac:dyDescent="0.25">
      <c r="E11716" s="34"/>
      <c r="G11716" s="34"/>
      <c r="H11716" s="4"/>
    </row>
    <row r="11717" spans="5:8" x14ac:dyDescent="0.25">
      <c r="E11717" s="34"/>
      <c r="G11717" s="34"/>
      <c r="H11717" s="4"/>
    </row>
    <row r="11718" spans="5:8" x14ac:dyDescent="0.25">
      <c r="E11718" s="34"/>
      <c r="G11718" s="34"/>
      <c r="H11718" s="4"/>
    </row>
    <row r="11719" spans="5:8" x14ac:dyDescent="0.25">
      <c r="E11719" s="34"/>
      <c r="G11719" s="34"/>
      <c r="H11719" s="4"/>
    </row>
    <row r="11720" spans="5:8" x14ac:dyDescent="0.25">
      <c r="E11720" s="34"/>
      <c r="G11720" s="34"/>
      <c r="H11720" s="4"/>
    </row>
    <row r="11721" spans="5:8" x14ac:dyDescent="0.25">
      <c r="E11721" s="34"/>
      <c r="G11721" s="34"/>
      <c r="H11721" s="4"/>
    </row>
    <row r="11722" spans="5:8" x14ac:dyDescent="0.25">
      <c r="E11722" s="34"/>
      <c r="G11722" s="34"/>
      <c r="H11722" s="4"/>
    </row>
    <row r="11723" spans="5:8" x14ac:dyDescent="0.25">
      <c r="E11723" s="34"/>
      <c r="G11723" s="34"/>
      <c r="H11723" s="4"/>
    </row>
    <row r="11724" spans="5:8" x14ac:dyDescent="0.25">
      <c r="E11724" s="34"/>
      <c r="G11724" s="34"/>
      <c r="H11724" s="4"/>
    </row>
    <row r="11725" spans="5:8" x14ac:dyDescent="0.25">
      <c r="E11725" s="34"/>
      <c r="G11725" s="34"/>
      <c r="H11725" s="4"/>
    </row>
    <row r="11726" spans="5:8" x14ac:dyDescent="0.25">
      <c r="E11726" s="34"/>
      <c r="G11726" s="34"/>
      <c r="H11726" s="4"/>
    </row>
    <row r="11727" spans="5:8" x14ac:dyDescent="0.25">
      <c r="E11727" s="34"/>
      <c r="G11727" s="34"/>
      <c r="H11727" s="4"/>
    </row>
    <row r="11728" spans="5:8" x14ac:dyDescent="0.25">
      <c r="E11728" s="34"/>
      <c r="G11728" s="34"/>
      <c r="H11728" s="4"/>
    </row>
    <row r="11729" spans="5:8" x14ac:dyDescent="0.25">
      <c r="E11729" s="34"/>
      <c r="G11729" s="34"/>
      <c r="H11729" s="4"/>
    </row>
    <row r="11730" spans="5:8" x14ac:dyDescent="0.25">
      <c r="E11730" s="34"/>
      <c r="G11730" s="34"/>
      <c r="H11730" s="4"/>
    </row>
    <row r="11731" spans="5:8" x14ac:dyDescent="0.25">
      <c r="E11731" s="34"/>
      <c r="G11731" s="34"/>
      <c r="H11731" s="4"/>
    </row>
    <row r="11732" spans="5:8" x14ac:dyDescent="0.25">
      <c r="E11732" s="34"/>
      <c r="G11732" s="34"/>
      <c r="H11732" s="4"/>
    </row>
    <row r="11733" spans="5:8" x14ac:dyDescent="0.25">
      <c r="E11733" s="34"/>
      <c r="G11733" s="34"/>
      <c r="H11733" s="4"/>
    </row>
    <row r="11734" spans="5:8" x14ac:dyDescent="0.25">
      <c r="E11734" s="34"/>
      <c r="G11734" s="34"/>
      <c r="H11734" s="4"/>
    </row>
    <row r="11735" spans="5:8" x14ac:dyDescent="0.25">
      <c r="E11735" s="34"/>
      <c r="G11735" s="34"/>
      <c r="H11735" s="4"/>
    </row>
    <row r="11736" spans="5:8" x14ac:dyDescent="0.25">
      <c r="E11736" s="34"/>
      <c r="G11736" s="34"/>
      <c r="H11736" s="4"/>
    </row>
    <row r="11737" spans="5:8" x14ac:dyDescent="0.25">
      <c r="E11737" s="34"/>
      <c r="G11737" s="34"/>
      <c r="H11737" s="4"/>
    </row>
    <row r="11738" spans="5:8" x14ac:dyDescent="0.25">
      <c r="E11738" s="34"/>
      <c r="G11738" s="34"/>
      <c r="H11738" s="4"/>
    </row>
    <row r="11739" spans="5:8" x14ac:dyDescent="0.25">
      <c r="E11739" s="34"/>
      <c r="G11739" s="34"/>
      <c r="H11739" s="4"/>
    </row>
    <row r="11740" spans="5:8" x14ac:dyDescent="0.25">
      <c r="E11740" s="34"/>
      <c r="G11740" s="34"/>
      <c r="H11740" s="4"/>
    </row>
    <row r="11741" spans="5:8" x14ac:dyDescent="0.25">
      <c r="E11741" s="34"/>
      <c r="G11741" s="34"/>
      <c r="H11741" s="4"/>
    </row>
    <row r="11742" spans="5:8" x14ac:dyDescent="0.25">
      <c r="E11742" s="34"/>
      <c r="G11742" s="34"/>
      <c r="H11742" s="4"/>
    </row>
    <row r="11743" spans="5:8" x14ac:dyDescent="0.25">
      <c r="E11743" s="34"/>
      <c r="G11743" s="34"/>
      <c r="H11743" s="4"/>
    </row>
    <row r="11744" spans="5:8" x14ac:dyDescent="0.25">
      <c r="E11744" s="34"/>
      <c r="G11744" s="34"/>
      <c r="H11744" s="4"/>
    </row>
    <row r="11745" spans="5:8" x14ac:dyDescent="0.25">
      <c r="E11745" s="34"/>
      <c r="G11745" s="34"/>
      <c r="H11745" s="4"/>
    </row>
    <row r="11746" spans="5:8" x14ac:dyDescent="0.25">
      <c r="E11746" s="34"/>
      <c r="G11746" s="34"/>
      <c r="H11746" s="4"/>
    </row>
    <row r="11747" spans="5:8" x14ac:dyDescent="0.25">
      <c r="E11747" s="34"/>
      <c r="G11747" s="34"/>
      <c r="H11747" s="4"/>
    </row>
    <row r="11748" spans="5:8" x14ac:dyDescent="0.25">
      <c r="E11748" s="34"/>
      <c r="G11748" s="34"/>
      <c r="H11748" s="4"/>
    </row>
    <row r="11749" spans="5:8" x14ac:dyDescent="0.25">
      <c r="E11749" s="34"/>
      <c r="G11749" s="34"/>
      <c r="H11749" s="4"/>
    </row>
    <row r="11750" spans="5:8" x14ac:dyDescent="0.25">
      <c r="E11750" s="34"/>
      <c r="G11750" s="34"/>
      <c r="H11750" s="4"/>
    </row>
    <row r="11751" spans="5:8" x14ac:dyDescent="0.25">
      <c r="E11751" s="34"/>
      <c r="G11751" s="34"/>
      <c r="H11751" s="4"/>
    </row>
    <row r="11752" spans="5:8" x14ac:dyDescent="0.25">
      <c r="E11752" s="34"/>
      <c r="G11752" s="34"/>
      <c r="H11752" s="4"/>
    </row>
    <row r="11753" spans="5:8" x14ac:dyDescent="0.25">
      <c r="E11753" s="34"/>
      <c r="G11753" s="34"/>
      <c r="H11753" s="4"/>
    </row>
    <row r="11754" spans="5:8" x14ac:dyDescent="0.25">
      <c r="E11754" s="34"/>
      <c r="G11754" s="34"/>
      <c r="H11754" s="4"/>
    </row>
    <row r="11755" spans="5:8" x14ac:dyDescent="0.25">
      <c r="E11755" s="34"/>
      <c r="G11755" s="34"/>
      <c r="H11755" s="4"/>
    </row>
    <row r="11756" spans="5:8" x14ac:dyDescent="0.25">
      <c r="E11756" s="34"/>
      <c r="G11756" s="34"/>
      <c r="H11756" s="4"/>
    </row>
    <row r="11757" spans="5:8" x14ac:dyDescent="0.25">
      <c r="E11757" s="34"/>
      <c r="G11757" s="34"/>
      <c r="H11757" s="4"/>
    </row>
    <row r="11758" spans="5:8" x14ac:dyDescent="0.25">
      <c r="E11758" s="34"/>
      <c r="G11758" s="34"/>
      <c r="H11758" s="4"/>
    </row>
    <row r="11759" spans="5:8" x14ac:dyDescent="0.25">
      <c r="E11759" s="34"/>
      <c r="G11759" s="34"/>
      <c r="H11759" s="4"/>
    </row>
    <row r="11760" spans="5:8" x14ac:dyDescent="0.25">
      <c r="E11760" s="34"/>
      <c r="G11760" s="34"/>
      <c r="H11760" s="4"/>
    </row>
    <row r="11761" spans="5:8" x14ac:dyDescent="0.25">
      <c r="E11761" s="34"/>
      <c r="G11761" s="34"/>
      <c r="H11761" s="4"/>
    </row>
    <row r="11762" spans="5:8" x14ac:dyDescent="0.25">
      <c r="E11762" s="34"/>
      <c r="G11762" s="34"/>
      <c r="H11762" s="4"/>
    </row>
    <row r="11763" spans="5:8" x14ac:dyDescent="0.25">
      <c r="E11763" s="34"/>
      <c r="G11763" s="34"/>
      <c r="H11763" s="4"/>
    </row>
    <row r="11764" spans="5:8" x14ac:dyDescent="0.25">
      <c r="E11764" s="34"/>
      <c r="G11764" s="34"/>
      <c r="H11764" s="4"/>
    </row>
    <row r="11765" spans="5:8" x14ac:dyDescent="0.25">
      <c r="E11765" s="34"/>
      <c r="G11765" s="34"/>
      <c r="H11765" s="4"/>
    </row>
    <row r="11766" spans="5:8" x14ac:dyDescent="0.25">
      <c r="E11766" s="34"/>
      <c r="G11766" s="34"/>
      <c r="H11766" s="4"/>
    </row>
    <row r="11767" spans="5:8" x14ac:dyDescent="0.25">
      <c r="E11767" s="34"/>
      <c r="G11767" s="34"/>
      <c r="H11767" s="4"/>
    </row>
    <row r="11768" spans="5:8" x14ac:dyDescent="0.25">
      <c r="E11768" s="34"/>
      <c r="G11768" s="34"/>
      <c r="H11768" s="4"/>
    </row>
    <row r="11769" spans="5:8" x14ac:dyDescent="0.25">
      <c r="E11769" s="34"/>
      <c r="G11769" s="34"/>
      <c r="H11769" s="4"/>
    </row>
    <row r="11770" spans="5:8" x14ac:dyDescent="0.25">
      <c r="E11770" s="34"/>
      <c r="G11770" s="34"/>
      <c r="H11770" s="4"/>
    </row>
    <row r="11771" spans="5:8" x14ac:dyDescent="0.25">
      <c r="E11771" s="34"/>
      <c r="G11771" s="34"/>
      <c r="H11771" s="4"/>
    </row>
    <row r="11772" spans="5:8" x14ac:dyDescent="0.25">
      <c r="E11772" s="34"/>
      <c r="G11772" s="34"/>
      <c r="H11772" s="4"/>
    </row>
    <row r="11773" spans="5:8" x14ac:dyDescent="0.25">
      <c r="E11773" s="34"/>
      <c r="G11773" s="34"/>
      <c r="H11773" s="4"/>
    </row>
    <row r="11774" spans="5:8" x14ac:dyDescent="0.25">
      <c r="E11774" s="34"/>
      <c r="G11774" s="34"/>
      <c r="H11774" s="4"/>
    </row>
    <row r="11775" spans="5:8" x14ac:dyDescent="0.25">
      <c r="E11775" s="34"/>
      <c r="G11775" s="34"/>
      <c r="H11775" s="4"/>
    </row>
    <row r="11776" spans="5:8" x14ac:dyDescent="0.25">
      <c r="E11776" s="34"/>
      <c r="G11776" s="34"/>
      <c r="H11776" s="4"/>
    </row>
    <row r="11777" spans="5:8" x14ac:dyDescent="0.25">
      <c r="E11777" s="34"/>
      <c r="G11777" s="34"/>
      <c r="H11777" s="4"/>
    </row>
    <row r="11778" spans="5:8" x14ac:dyDescent="0.25">
      <c r="E11778" s="34"/>
      <c r="G11778" s="34"/>
      <c r="H11778" s="4"/>
    </row>
    <row r="11779" spans="5:8" x14ac:dyDescent="0.25">
      <c r="E11779" s="34"/>
      <c r="G11779" s="34"/>
      <c r="H11779" s="4"/>
    </row>
    <row r="11780" spans="5:8" x14ac:dyDescent="0.25">
      <c r="E11780" s="34"/>
      <c r="G11780" s="34"/>
      <c r="H11780" s="4"/>
    </row>
    <row r="11781" spans="5:8" x14ac:dyDescent="0.25">
      <c r="E11781" s="34"/>
      <c r="G11781" s="34"/>
      <c r="H11781" s="4"/>
    </row>
    <row r="11782" spans="5:8" x14ac:dyDescent="0.25">
      <c r="E11782" s="34"/>
      <c r="G11782" s="34"/>
      <c r="H11782" s="4"/>
    </row>
    <row r="11783" spans="5:8" x14ac:dyDescent="0.25">
      <c r="E11783" s="34"/>
      <c r="G11783" s="34"/>
      <c r="H11783" s="4"/>
    </row>
    <row r="11784" spans="5:8" x14ac:dyDescent="0.25">
      <c r="E11784" s="34"/>
      <c r="G11784" s="34"/>
      <c r="H11784" s="4"/>
    </row>
    <row r="11785" spans="5:8" x14ac:dyDescent="0.25">
      <c r="E11785" s="34"/>
      <c r="G11785" s="34"/>
      <c r="H11785" s="4"/>
    </row>
    <row r="11786" spans="5:8" x14ac:dyDescent="0.25">
      <c r="E11786" s="34"/>
      <c r="G11786" s="34"/>
      <c r="H11786" s="4"/>
    </row>
    <row r="11787" spans="5:8" x14ac:dyDescent="0.25">
      <c r="E11787" s="34"/>
      <c r="G11787" s="34"/>
      <c r="H11787" s="4"/>
    </row>
    <row r="11788" spans="5:8" x14ac:dyDescent="0.25">
      <c r="E11788" s="34"/>
      <c r="G11788" s="34"/>
      <c r="H11788" s="4"/>
    </row>
    <row r="11789" spans="5:8" x14ac:dyDescent="0.25">
      <c r="E11789" s="34"/>
      <c r="G11789" s="34"/>
      <c r="H11789" s="4"/>
    </row>
    <row r="11790" spans="5:8" x14ac:dyDescent="0.25">
      <c r="E11790" s="34"/>
      <c r="G11790" s="34"/>
      <c r="H11790" s="4"/>
    </row>
    <row r="11791" spans="5:8" x14ac:dyDescent="0.25">
      <c r="E11791" s="34"/>
      <c r="G11791" s="34"/>
      <c r="H11791" s="4"/>
    </row>
    <row r="11792" spans="5:8" x14ac:dyDescent="0.25">
      <c r="E11792" s="34"/>
      <c r="G11792" s="34"/>
      <c r="H11792" s="4"/>
    </row>
    <row r="11793" spans="5:8" x14ac:dyDescent="0.25">
      <c r="E11793" s="34"/>
      <c r="G11793" s="34"/>
      <c r="H11793" s="4"/>
    </row>
    <row r="11794" spans="5:8" x14ac:dyDescent="0.25">
      <c r="E11794" s="34"/>
      <c r="G11794" s="34"/>
      <c r="H11794" s="4"/>
    </row>
    <row r="11795" spans="5:8" x14ac:dyDescent="0.25">
      <c r="E11795" s="34"/>
      <c r="G11795" s="34"/>
      <c r="H11795" s="4"/>
    </row>
    <row r="11796" spans="5:8" x14ac:dyDescent="0.25">
      <c r="E11796" s="34"/>
      <c r="G11796" s="34"/>
      <c r="H11796" s="4"/>
    </row>
    <row r="11797" spans="5:8" x14ac:dyDescent="0.25">
      <c r="E11797" s="34"/>
      <c r="G11797" s="34"/>
      <c r="H11797" s="4"/>
    </row>
    <row r="11798" spans="5:8" x14ac:dyDescent="0.25">
      <c r="E11798" s="34"/>
      <c r="G11798" s="34"/>
      <c r="H11798" s="4"/>
    </row>
    <row r="11799" spans="5:8" x14ac:dyDescent="0.25">
      <c r="E11799" s="34"/>
      <c r="G11799" s="34"/>
      <c r="H11799" s="4"/>
    </row>
    <row r="11800" spans="5:8" x14ac:dyDescent="0.25">
      <c r="E11800" s="34"/>
      <c r="G11800" s="34"/>
      <c r="H11800" s="4"/>
    </row>
    <row r="11801" spans="5:8" x14ac:dyDescent="0.25">
      <c r="E11801" s="34"/>
      <c r="G11801" s="34"/>
      <c r="H11801" s="4"/>
    </row>
    <row r="11802" spans="5:8" x14ac:dyDescent="0.25">
      <c r="E11802" s="34"/>
      <c r="G11802" s="34"/>
      <c r="H11802" s="4"/>
    </row>
    <row r="11803" spans="5:8" x14ac:dyDescent="0.25">
      <c r="E11803" s="34"/>
      <c r="G11803" s="34"/>
      <c r="H11803" s="4"/>
    </row>
    <row r="11804" spans="5:8" x14ac:dyDescent="0.25">
      <c r="E11804" s="34"/>
      <c r="G11804" s="34"/>
      <c r="H11804" s="4"/>
    </row>
    <row r="11805" spans="5:8" x14ac:dyDescent="0.25">
      <c r="E11805" s="34"/>
      <c r="G11805" s="34"/>
      <c r="H11805" s="4"/>
    </row>
    <row r="11806" spans="5:8" x14ac:dyDescent="0.25">
      <c r="E11806" s="34"/>
      <c r="G11806" s="34"/>
      <c r="H11806" s="4"/>
    </row>
    <row r="11807" spans="5:8" x14ac:dyDescent="0.25">
      <c r="E11807" s="34"/>
      <c r="G11807" s="34"/>
      <c r="H11807" s="4"/>
    </row>
    <row r="11808" spans="5:8" x14ac:dyDescent="0.25">
      <c r="E11808" s="34"/>
      <c r="G11808" s="34"/>
      <c r="H11808" s="4"/>
    </row>
    <row r="11809" spans="5:8" x14ac:dyDescent="0.25">
      <c r="E11809" s="34"/>
      <c r="G11809" s="34"/>
      <c r="H11809" s="4"/>
    </row>
    <row r="11810" spans="5:8" x14ac:dyDescent="0.25">
      <c r="E11810" s="34"/>
      <c r="G11810" s="34"/>
      <c r="H11810" s="4"/>
    </row>
    <row r="11811" spans="5:8" x14ac:dyDescent="0.25">
      <c r="E11811" s="34"/>
      <c r="G11811" s="34"/>
      <c r="H11811" s="4"/>
    </row>
    <row r="11812" spans="5:8" x14ac:dyDescent="0.25">
      <c r="E11812" s="34"/>
      <c r="G11812" s="34"/>
      <c r="H11812" s="4"/>
    </row>
    <row r="11813" spans="5:8" x14ac:dyDescent="0.25">
      <c r="E11813" s="34"/>
      <c r="G11813" s="34"/>
      <c r="H11813" s="4"/>
    </row>
    <row r="11814" spans="5:8" x14ac:dyDescent="0.25">
      <c r="E11814" s="34"/>
      <c r="G11814" s="34"/>
      <c r="H11814" s="4"/>
    </row>
    <row r="11815" spans="5:8" x14ac:dyDescent="0.25">
      <c r="E11815" s="34"/>
      <c r="G11815" s="34"/>
      <c r="H11815" s="4"/>
    </row>
    <row r="11816" spans="5:8" x14ac:dyDescent="0.25">
      <c r="E11816" s="34"/>
      <c r="G11816" s="34"/>
      <c r="H11816" s="4"/>
    </row>
    <row r="11817" spans="5:8" x14ac:dyDescent="0.25">
      <c r="E11817" s="34"/>
      <c r="G11817" s="34"/>
      <c r="H11817" s="4"/>
    </row>
    <row r="11818" spans="5:8" x14ac:dyDescent="0.25">
      <c r="E11818" s="34"/>
      <c r="G11818" s="34"/>
      <c r="H11818" s="4"/>
    </row>
    <row r="11819" spans="5:8" x14ac:dyDescent="0.25">
      <c r="E11819" s="34"/>
      <c r="G11819" s="34"/>
      <c r="H11819" s="4"/>
    </row>
    <row r="11820" spans="5:8" x14ac:dyDescent="0.25">
      <c r="E11820" s="34"/>
      <c r="G11820" s="34"/>
      <c r="H11820" s="4"/>
    </row>
    <row r="11821" spans="5:8" x14ac:dyDescent="0.25">
      <c r="E11821" s="34"/>
      <c r="G11821" s="34"/>
      <c r="H11821" s="4"/>
    </row>
    <row r="11822" spans="5:8" x14ac:dyDescent="0.25">
      <c r="E11822" s="34"/>
      <c r="G11822" s="34"/>
      <c r="H11822" s="4"/>
    </row>
    <row r="11823" spans="5:8" x14ac:dyDescent="0.25">
      <c r="E11823" s="34"/>
      <c r="G11823" s="34"/>
      <c r="H11823" s="4"/>
    </row>
    <row r="11824" spans="5:8" x14ac:dyDescent="0.25">
      <c r="E11824" s="34"/>
      <c r="G11824" s="34"/>
      <c r="H11824" s="4"/>
    </row>
    <row r="11825" spans="5:8" x14ac:dyDescent="0.25">
      <c r="E11825" s="34"/>
      <c r="G11825" s="34"/>
      <c r="H11825" s="4"/>
    </row>
    <row r="11826" spans="5:8" x14ac:dyDescent="0.25">
      <c r="E11826" s="34"/>
      <c r="G11826" s="34"/>
      <c r="H11826" s="4"/>
    </row>
    <row r="11827" spans="5:8" x14ac:dyDescent="0.25">
      <c r="E11827" s="34"/>
      <c r="G11827" s="34"/>
      <c r="H11827" s="4"/>
    </row>
    <row r="11828" spans="5:8" x14ac:dyDescent="0.25">
      <c r="E11828" s="34"/>
      <c r="G11828" s="34"/>
      <c r="H11828" s="4"/>
    </row>
    <row r="11829" spans="5:8" x14ac:dyDescent="0.25">
      <c r="E11829" s="34"/>
      <c r="G11829" s="34"/>
      <c r="H11829" s="4"/>
    </row>
    <row r="11830" spans="5:8" x14ac:dyDescent="0.25">
      <c r="E11830" s="34"/>
      <c r="G11830" s="34"/>
      <c r="H11830" s="4"/>
    </row>
    <row r="11831" spans="5:8" x14ac:dyDescent="0.25">
      <c r="E11831" s="34"/>
      <c r="G11831" s="34"/>
      <c r="H11831" s="4"/>
    </row>
    <row r="11832" spans="5:8" x14ac:dyDescent="0.25">
      <c r="E11832" s="34"/>
      <c r="G11832" s="34"/>
      <c r="H11832" s="4"/>
    </row>
    <row r="11833" spans="5:8" x14ac:dyDescent="0.25">
      <c r="E11833" s="34"/>
      <c r="G11833" s="34"/>
      <c r="H11833" s="4"/>
    </row>
    <row r="11834" spans="5:8" x14ac:dyDescent="0.25">
      <c r="E11834" s="34"/>
      <c r="G11834" s="34"/>
      <c r="H11834" s="4"/>
    </row>
    <row r="11835" spans="5:8" x14ac:dyDescent="0.25">
      <c r="E11835" s="34"/>
      <c r="G11835" s="34"/>
      <c r="H11835" s="4"/>
    </row>
    <row r="11836" spans="5:8" x14ac:dyDescent="0.25">
      <c r="E11836" s="34"/>
      <c r="G11836" s="34"/>
      <c r="H11836" s="4"/>
    </row>
    <row r="11837" spans="5:8" x14ac:dyDescent="0.25">
      <c r="E11837" s="34"/>
      <c r="G11837" s="34"/>
      <c r="H11837" s="4"/>
    </row>
    <row r="11838" spans="5:8" x14ac:dyDescent="0.25">
      <c r="E11838" s="34"/>
      <c r="G11838" s="34"/>
      <c r="H11838" s="4"/>
    </row>
    <row r="11839" spans="5:8" x14ac:dyDescent="0.25">
      <c r="E11839" s="34"/>
      <c r="G11839" s="34"/>
      <c r="H11839" s="4"/>
    </row>
    <row r="11840" spans="5:8" x14ac:dyDescent="0.25">
      <c r="E11840" s="34"/>
      <c r="G11840" s="34"/>
      <c r="H11840" s="4"/>
    </row>
    <row r="11841" spans="5:8" x14ac:dyDescent="0.25">
      <c r="E11841" s="34"/>
      <c r="G11841" s="34"/>
      <c r="H11841" s="4"/>
    </row>
    <row r="11842" spans="5:8" x14ac:dyDescent="0.25">
      <c r="E11842" s="34"/>
      <c r="G11842" s="34"/>
      <c r="H11842" s="4"/>
    </row>
    <row r="11843" spans="5:8" x14ac:dyDescent="0.25">
      <c r="E11843" s="34"/>
      <c r="G11843" s="34"/>
      <c r="H11843" s="4"/>
    </row>
    <row r="11844" spans="5:8" x14ac:dyDescent="0.25">
      <c r="E11844" s="34"/>
      <c r="G11844" s="34"/>
      <c r="H11844" s="4"/>
    </row>
    <row r="11845" spans="5:8" x14ac:dyDescent="0.25">
      <c r="E11845" s="34"/>
      <c r="G11845" s="34"/>
      <c r="H11845" s="4"/>
    </row>
    <row r="11846" spans="5:8" x14ac:dyDescent="0.25">
      <c r="E11846" s="34"/>
      <c r="G11846" s="34"/>
      <c r="H11846" s="4"/>
    </row>
    <row r="11847" spans="5:8" x14ac:dyDescent="0.25">
      <c r="E11847" s="34"/>
      <c r="G11847" s="34"/>
      <c r="H11847" s="4"/>
    </row>
    <row r="11848" spans="5:8" x14ac:dyDescent="0.25">
      <c r="E11848" s="34"/>
      <c r="G11848" s="34"/>
      <c r="H11848" s="4"/>
    </row>
    <row r="11849" spans="5:8" x14ac:dyDescent="0.25">
      <c r="E11849" s="34"/>
      <c r="G11849" s="34"/>
      <c r="H11849" s="4"/>
    </row>
    <row r="11850" spans="5:8" x14ac:dyDescent="0.25">
      <c r="E11850" s="34"/>
      <c r="G11850" s="34"/>
      <c r="H11850" s="4"/>
    </row>
    <row r="11851" spans="5:8" x14ac:dyDescent="0.25">
      <c r="E11851" s="34"/>
      <c r="G11851" s="34"/>
      <c r="H11851" s="4"/>
    </row>
    <row r="11852" spans="5:8" x14ac:dyDescent="0.25">
      <c r="E11852" s="34"/>
      <c r="G11852" s="34"/>
      <c r="H11852" s="4"/>
    </row>
    <row r="11853" spans="5:8" x14ac:dyDescent="0.25">
      <c r="E11853" s="34"/>
      <c r="G11853" s="34"/>
      <c r="H11853" s="4"/>
    </row>
    <row r="11854" spans="5:8" x14ac:dyDescent="0.25">
      <c r="E11854" s="34"/>
      <c r="G11854" s="34"/>
      <c r="H11854" s="4"/>
    </row>
    <row r="11855" spans="5:8" x14ac:dyDescent="0.25">
      <c r="E11855" s="34"/>
      <c r="G11855" s="34"/>
      <c r="H11855" s="4"/>
    </row>
    <row r="11856" spans="5:8" x14ac:dyDescent="0.25">
      <c r="E11856" s="34"/>
      <c r="G11856" s="34"/>
      <c r="H11856" s="4"/>
    </row>
    <row r="11857" spans="5:8" x14ac:dyDescent="0.25">
      <c r="E11857" s="34"/>
      <c r="G11857" s="34"/>
      <c r="H11857" s="4"/>
    </row>
    <row r="11858" spans="5:8" x14ac:dyDescent="0.25">
      <c r="E11858" s="34"/>
      <c r="G11858" s="34"/>
      <c r="H11858" s="4"/>
    </row>
    <row r="11859" spans="5:8" x14ac:dyDescent="0.25">
      <c r="E11859" s="34"/>
      <c r="G11859" s="34"/>
      <c r="H11859" s="4"/>
    </row>
    <row r="11860" spans="5:8" x14ac:dyDescent="0.25">
      <c r="E11860" s="34"/>
      <c r="G11860" s="34"/>
      <c r="H11860" s="4"/>
    </row>
    <row r="11861" spans="5:8" x14ac:dyDescent="0.25">
      <c r="E11861" s="34"/>
      <c r="G11861" s="34"/>
      <c r="H11861" s="4"/>
    </row>
    <row r="11862" spans="5:8" x14ac:dyDescent="0.25">
      <c r="E11862" s="34"/>
      <c r="G11862" s="34"/>
      <c r="H11862" s="4"/>
    </row>
    <row r="11863" spans="5:8" x14ac:dyDescent="0.25">
      <c r="E11863" s="34"/>
      <c r="G11863" s="34"/>
      <c r="H11863" s="4"/>
    </row>
    <row r="11864" spans="5:8" x14ac:dyDescent="0.25">
      <c r="E11864" s="34"/>
      <c r="G11864" s="34"/>
      <c r="H11864" s="4"/>
    </row>
    <row r="11865" spans="5:8" x14ac:dyDescent="0.25">
      <c r="E11865" s="34"/>
      <c r="G11865" s="34"/>
      <c r="H11865" s="4"/>
    </row>
    <row r="11866" spans="5:8" x14ac:dyDescent="0.25">
      <c r="E11866" s="34"/>
      <c r="G11866" s="34"/>
      <c r="H11866" s="4"/>
    </row>
    <row r="11867" spans="5:8" x14ac:dyDescent="0.25">
      <c r="E11867" s="34"/>
      <c r="G11867" s="34"/>
      <c r="H11867" s="4"/>
    </row>
    <row r="11868" spans="5:8" x14ac:dyDescent="0.25">
      <c r="E11868" s="34"/>
      <c r="G11868" s="34"/>
      <c r="H11868" s="4"/>
    </row>
    <row r="11869" spans="5:8" x14ac:dyDescent="0.25">
      <c r="E11869" s="34"/>
      <c r="G11869" s="34"/>
      <c r="H11869" s="4"/>
    </row>
    <row r="11870" spans="5:8" x14ac:dyDescent="0.25">
      <c r="E11870" s="34"/>
      <c r="G11870" s="34"/>
      <c r="H11870" s="4"/>
    </row>
    <row r="11871" spans="5:8" x14ac:dyDescent="0.25">
      <c r="E11871" s="34"/>
      <c r="G11871" s="34"/>
      <c r="H11871" s="4"/>
    </row>
    <row r="11872" spans="5:8" x14ac:dyDescent="0.25">
      <c r="E11872" s="34"/>
      <c r="G11872" s="34"/>
      <c r="H11872" s="4"/>
    </row>
    <row r="11873" spans="5:8" x14ac:dyDescent="0.25">
      <c r="E11873" s="34"/>
      <c r="G11873" s="34"/>
      <c r="H11873" s="4"/>
    </row>
    <row r="11874" spans="5:8" x14ac:dyDescent="0.25">
      <c r="E11874" s="34"/>
      <c r="G11874" s="34"/>
      <c r="H11874" s="4"/>
    </row>
    <row r="11875" spans="5:8" x14ac:dyDescent="0.25">
      <c r="E11875" s="34"/>
      <c r="G11875" s="34"/>
      <c r="H11875" s="4"/>
    </row>
    <row r="11876" spans="5:8" x14ac:dyDescent="0.25">
      <c r="E11876" s="34"/>
      <c r="G11876" s="34"/>
      <c r="H11876" s="4"/>
    </row>
    <row r="11877" spans="5:8" x14ac:dyDescent="0.25">
      <c r="E11877" s="34"/>
      <c r="G11877" s="34"/>
      <c r="H11877" s="4"/>
    </row>
    <row r="11878" spans="5:8" x14ac:dyDescent="0.25">
      <c r="E11878" s="34"/>
      <c r="G11878" s="34"/>
      <c r="H11878" s="4"/>
    </row>
    <row r="11879" spans="5:8" x14ac:dyDescent="0.25">
      <c r="E11879" s="34"/>
      <c r="G11879" s="34"/>
      <c r="H11879" s="4"/>
    </row>
    <row r="11880" spans="5:8" x14ac:dyDescent="0.25">
      <c r="E11880" s="34"/>
      <c r="G11880" s="34"/>
      <c r="H11880" s="4"/>
    </row>
    <row r="11881" spans="5:8" x14ac:dyDescent="0.25">
      <c r="E11881" s="34"/>
      <c r="G11881" s="34"/>
      <c r="H11881" s="4"/>
    </row>
    <row r="11882" spans="5:8" x14ac:dyDescent="0.25">
      <c r="E11882" s="34"/>
      <c r="G11882" s="34"/>
      <c r="H11882" s="4"/>
    </row>
    <row r="11883" spans="5:8" x14ac:dyDescent="0.25">
      <c r="E11883" s="34"/>
      <c r="G11883" s="34"/>
      <c r="H11883" s="4"/>
    </row>
    <row r="11884" spans="5:8" x14ac:dyDescent="0.25">
      <c r="E11884" s="34"/>
      <c r="G11884" s="34"/>
      <c r="H11884" s="4"/>
    </row>
    <row r="11885" spans="5:8" x14ac:dyDescent="0.25">
      <c r="E11885" s="34"/>
      <c r="G11885" s="34"/>
      <c r="H11885" s="4"/>
    </row>
    <row r="11886" spans="5:8" x14ac:dyDescent="0.25">
      <c r="E11886" s="34"/>
      <c r="G11886" s="34"/>
      <c r="H11886" s="4"/>
    </row>
    <row r="11887" spans="5:8" x14ac:dyDescent="0.25">
      <c r="E11887" s="34"/>
      <c r="G11887" s="34"/>
      <c r="H11887" s="4"/>
    </row>
    <row r="11888" spans="5:8" x14ac:dyDescent="0.25">
      <c r="E11888" s="34"/>
      <c r="G11888" s="34"/>
      <c r="H11888" s="4"/>
    </row>
    <row r="11889" spans="5:8" x14ac:dyDescent="0.25">
      <c r="E11889" s="34"/>
      <c r="G11889" s="34"/>
      <c r="H11889" s="4"/>
    </row>
    <row r="11890" spans="5:8" x14ac:dyDescent="0.25">
      <c r="E11890" s="34"/>
      <c r="G11890" s="34"/>
      <c r="H11890" s="4"/>
    </row>
    <row r="11891" spans="5:8" x14ac:dyDescent="0.25">
      <c r="E11891" s="34"/>
      <c r="G11891" s="34"/>
      <c r="H11891" s="4"/>
    </row>
    <row r="11892" spans="5:8" x14ac:dyDescent="0.25">
      <c r="E11892" s="34"/>
      <c r="G11892" s="34"/>
      <c r="H11892" s="4"/>
    </row>
    <row r="11893" spans="5:8" x14ac:dyDescent="0.25">
      <c r="E11893" s="34"/>
      <c r="G11893" s="34"/>
      <c r="H11893" s="4"/>
    </row>
    <row r="11894" spans="5:8" x14ac:dyDescent="0.25">
      <c r="E11894" s="34"/>
      <c r="G11894" s="34"/>
      <c r="H11894" s="4"/>
    </row>
    <row r="11895" spans="5:8" x14ac:dyDescent="0.25">
      <c r="E11895" s="34"/>
      <c r="G11895" s="34"/>
      <c r="H11895" s="4"/>
    </row>
    <row r="11896" spans="5:8" x14ac:dyDescent="0.25">
      <c r="E11896" s="34"/>
      <c r="G11896" s="34"/>
      <c r="H11896" s="4"/>
    </row>
    <row r="11897" spans="5:8" x14ac:dyDescent="0.25">
      <c r="E11897" s="34"/>
      <c r="G11897" s="34"/>
      <c r="H11897" s="4"/>
    </row>
    <row r="11898" spans="5:8" x14ac:dyDescent="0.25">
      <c r="E11898" s="34"/>
      <c r="G11898" s="34"/>
      <c r="H11898" s="4"/>
    </row>
    <row r="11899" spans="5:8" x14ac:dyDescent="0.25">
      <c r="E11899" s="34"/>
      <c r="G11899" s="34"/>
      <c r="H11899" s="4"/>
    </row>
    <row r="11900" spans="5:8" x14ac:dyDescent="0.25">
      <c r="E11900" s="34"/>
      <c r="G11900" s="34"/>
      <c r="H11900" s="4"/>
    </row>
    <row r="11901" spans="5:8" x14ac:dyDescent="0.25">
      <c r="E11901" s="34"/>
      <c r="G11901" s="34"/>
      <c r="H11901" s="4"/>
    </row>
    <row r="11902" spans="5:8" x14ac:dyDescent="0.25">
      <c r="E11902" s="34"/>
      <c r="G11902" s="34"/>
      <c r="H11902" s="4"/>
    </row>
    <row r="11903" spans="5:8" x14ac:dyDescent="0.25">
      <c r="E11903" s="34"/>
      <c r="G11903" s="34"/>
      <c r="H11903" s="4"/>
    </row>
    <row r="11904" spans="5:8" x14ac:dyDescent="0.25">
      <c r="E11904" s="34"/>
      <c r="G11904" s="34"/>
      <c r="H11904" s="4"/>
    </row>
    <row r="11905" spans="5:8" x14ac:dyDescent="0.25">
      <c r="E11905" s="34"/>
      <c r="G11905" s="34"/>
      <c r="H11905" s="4"/>
    </row>
    <row r="11906" spans="5:8" x14ac:dyDescent="0.25">
      <c r="E11906" s="34"/>
      <c r="G11906" s="34"/>
      <c r="H11906" s="4"/>
    </row>
    <row r="11907" spans="5:8" x14ac:dyDescent="0.25">
      <c r="E11907" s="34"/>
      <c r="G11907" s="34"/>
      <c r="H11907" s="4"/>
    </row>
    <row r="11908" spans="5:8" x14ac:dyDescent="0.25">
      <c r="E11908" s="34"/>
      <c r="G11908" s="34"/>
      <c r="H11908" s="4"/>
    </row>
    <row r="11909" spans="5:8" x14ac:dyDescent="0.25">
      <c r="E11909" s="34"/>
      <c r="G11909" s="34"/>
      <c r="H11909" s="4"/>
    </row>
    <row r="11910" spans="5:8" x14ac:dyDescent="0.25">
      <c r="E11910" s="34"/>
      <c r="G11910" s="34"/>
      <c r="H11910" s="4"/>
    </row>
    <row r="11911" spans="5:8" x14ac:dyDescent="0.25">
      <c r="E11911" s="34"/>
      <c r="G11911" s="34"/>
      <c r="H11911" s="4"/>
    </row>
    <row r="11912" spans="5:8" x14ac:dyDescent="0.25">
      <c r="E11912" s="34"/>
      <c r="G11912" s="34"/>
      <c r="H11912" s="4"/>
    </row>
    <row r="11913" spans="5:8" x14ac:dyDescent="0.25">
      <c r="E11913" s="34"/>
      <c r="G11913" s="34"/>
      <c r="H11913" s="4"/>
    </row>
    <row r="11914" spans="5:8" x14ac:dyDescent="0.25">
      <c r="E11914" s="34"/>
      <c r="G11914" s="34"/>
      <c r="H11914" s="4"/>
    </row>
    <row r="11915" spans="5:8" x14ac:dyDescent="0.25">
      <c r="E11915" s="34"/>
      <c r="G11915" s="34"/>
      <c r="H11915" s="4"/>
    </row>
    <row r="11916" spans="5:8" x14ac:dyDescent="0.25">
      <c r="E11916" s="34"/>
      <c r="G11916" s="34"/>
      <c r="H11916" s="4"/>
    </row>
    <row r="11917" spans="5:8" x14ac:dyDescent="0.25">
      <c r="E11917" s="34"/>
      <c r="G11917" s="34"/>
      <c r="H11917" s="4"/>
    </row>
    <row r="11918" spans="5:8" x14ac:dyDescent="0.25">
      <c r="E11918" s="34"/>
      <c r="G11918" s="34"/>
      <c r="H11918" s="4"/>
    </row>
    <row r="11919" spans="5:8" x14ac:dyDescent="0.25">
      <c r="E11919" s="34"/>
      <c r="G11919" s="34"/>
      <c r="H11919" s="4"/>
    </row>
    <row r="11920" spans="5:8" x14ac:dyDescent="0.25">
      <c r="E11920" s="34"/>
      <c r="G11920" s="34"/>
      <c r="H11920" s="4"/>
    </row>
    <row r="11921" spans="5:8" x14ac:dyDescent="0.25">
      <c r="E11921" s="34"/>
      <c r="G11921" s="34"/>
      <c r="H11921" s="4"/>
    </row>
    <row r="11922" spans="5:8" x14ac:dyDescent="0.25">
      <c r="E11922" s="34"/>
      <c r="G11922" s="34"/>
      <c r="H11922" s="4"/>
    </row>
    <row r="11923" spans="5:8" x14ac:dyDescent="0.25">
      <c r="E11923" s="34"/>
      <c r="G11923" s="34"/>
      <c r="H11923" s="4"/>
    </row>
    <row r="11924" spans="5:8" x14ac:dyDescent="0.25">
      <c r="E11924" s="34"/>
      <c r="G11924" s="34"/>
      <c r="H11924" s="4"/>
    </row>
    <row r="11925" spans="5:8" x14ac:dyDescent="0.25">
      <c r="E11925" s="34"/>
      <c r="G11925" s="34"/>
      <c r="H11925" s="4"/>
    </row>
    <row r="11926" spans="5:8" x14ac:dyDescent="0.25">
      <c r="E11926" s="34"/>
      <c r="G11926" s="34"/>
      <c r="H11926" s="4"/>
    </row>
    <row r="11927" spans="5:8" x14ac:dyDescent="0.25">
      <c r="E11927" s="34"/>
      <c r="G11927" s="34"/>
      <c r="H11927" s="4"/>
    </row>
    <row r="11928" spans="5:8" x14ac:dyDescent="0.25">
      <c r="E11928" s="34"/>
      <c r="G11928" s="34"/>
      <c r="H11928" s="4"/>
    </row>
    <row r="11929" spans="5:8" x14ac:dyDescent="0.25">
      <c r="E11929" s="34"/>
      <c r="G11929" s="34"/>
      <c r="H11929" s="4"/>
    </row>
    <row r="11930" spans="5:8" x14ac:dyDescent="0.25">
      <c r="E11930" s="34"/>
      <c r="G11930" s="34"/>
      <c r="H11930" s="4"/>
    </row>
    <row r="11931" spans="5:8" x14ac:dyDescent="0.25">
      <c r="E11931" s="34"/>
      <c r="G11931" s="34"/>
      <c r="H11931" s="4"/>
    </row>
    <row r="11932" spans="5:8" x14ac:dyDescent="0.25">
      <c r="E11932" s="34"/>
      <c r="G11932" s="34"/>
      <c r="H11932" s="4"/>
    </row>
    <row r="11933" spans="5:8" x14ac:dyDescent="0.25">
      <c r="E11933" s="34"/>
      <c r="G11933" s="34"/>
      <c r="H11933" s="4"/>
    </row>
    <row r="11934" spans="5:8" x14ac:dyDescent="0.25">
      <c r="E11934" s="34"/>
      <c r="G11934" s="34"/>
      <c r="H11934" s="4"/>
    </row>
    <row r="11935" spans="5:8" x14ac:dyDescent="0.25">
      <c r="E11935" s="34"/>
      <c r="G11935" s="34"/>
      <c r="H11935" s="4"/>
    </row>
    <row r="11936" spans="5:8" x14ac:dyDescent="0.25">
      <c r="E11936" s="34"/>
      <c r="G11936" s="34"/>
      <c r="H11936" s="4"/>
    </row>
    <row r="11937" spans="5:8" x14ac:dyDescent="0.25">
      <c r="E11937" s="34"/>
      <c r="G11937" s="34"/>
      <c r="H11937" s="4"/>
    </row>
    <row r="11938" spans="5:8" x14ac:dyDescent="0.25">
      <c r="E11938" s="34"/>
      <c r="G11938" s="34"/>
      <c r="H11938" s="4"/>
    </row>
    <row r="11939" spans="5:8" x14ac:dyDescent="0.25">
      <c r="E11939" s="34"/>
      <c r="G11939" s="34"/>
      <c r="H11939" s="4"/>
    </row>
    <row r="11940" spans="5:8" x14ac:dyDescent="0.25">
      <c r="E11940" s="34"/>
      <c r="G11940" s="34"/>
      <c r="H11940" s="4"/>
    </row>
    <row r="11941" spans="5:8" x14ac:dyDescent="0.25">
      <c r="E11941" s="34"/>
      <c r="G11941" s="34"/>
      <c r="H11941" s="4"/>
    </row>
    <row r="11942" spans="5:8" x14ac:dyDescent="0.25">
      <c r="E11942" s="34"/>
      <c r="G11942" s="34"/>
      <c r="H11942" s="4"/>
    </row>
    <row r="11943" spans="5:8" x14ac:dyDescent="0.25">
      <c r="E11943" s="34"/>
      <c r="G11943" s="34"/>
      <c r="H11943" s="4"/>
    </row>
    <row r="11944" spans="5:8" x14ac:dyDescent="0.25">
      <c r="E11944" s="34"/>
      <c r="G11944" s="34"/>
      <c r="H11944" s="4"/>
    </row>
    <row r="11945" spans="5:8" x14ac:dyDescent="0.25">
      <c r="E11945" s="34"/>
      <c r="G11945" s="34"/>
      <c r="H11945" s="4"/>
    </row>
    <row r="11946" spans="5:8" x14ac:dyDescent="0.25">
      <c r="E11946" s="34"/>
      <c r="G11946" s="34"/>
      <c r="H11946" s="4"/>
    </row>
    <row r="11947" spans="5:8" x14ac:dyDescent="0.25">
      <c r="E11947" s="34"/>
      <c r="G11947" s="34"/>
      <c r="H11947" s="4"/>
    </row>
    <row r="11948" spans="5:8" x14ac:dyDescent="0.25">
      <c r="E11948" s="34"/>
      <c r="G11948" s="34"/>
      <c r="H11948" s="4"/>
    </row>
    <row r="11949" spans="5:8" x14ac:dyDescent="0.25">
      <c r="E11949" s="34"/>
      <c r="G11949" s="34"/>
      <c r="H11949" s="4"/>
    </row>
    <row r="11950" spans="5:8" x14ac:dyDescent="0.25">
      <c r="E11950" s="34"/>
      <c r="G11950" s="34"/>
      <c r="H11950" s="4"/>
    </row>
    <row r="11951" spans="5:8" x14ac:dyDescent="0.25">
      <c r="E11951" s="34"/>
      <c r="G11951" s="34"/>
      <c r="H11951" s="4"/>
    </row>
    <row r="11952" spans="5:8" x14ac:dyDescent="0.25">
      <c r="E11952" s="34"/>
      <c r="G11952" s="34"/>
      <c r="H11952" s="4"/>
    </row>
    <row r="11953" spans="5:8" x14ac:dyDescent="0.25">
      <c r="E11953" s="34"/>
      <c r="G11953" s="34"/>
      <c r="H11953" s="4"/>
    </row>
    <row r="11954" spans="5:8" x14ac:dyDescent="0.25">
      <c r="E11954" s="34"/>
      <c r="G11954" s="34"/>
      <c r="H11954" s="4"/>
    </row>
    <row r="11955" spans="5:8" x14ac:dyDescent="0.25">
      <c r="E11955" s="34"/>
      <c r="G11955" s="34"/>
      <c r="H11955" s="4"/>
    </row>
    <row r="11956" spans="5:8" x14ac:dyDescent="0.25">
      <c r="E11956" s="34"/>
      <c r="G11956" s="34"/>
      <c r="H11956" s="4"/>
    </row>
    <row r="11957" spans="5:8" x14ac:dyDescent="0.25">
      <c r="E11957" s="34"/>
      <c r="G11957" s="34"/>
      <c r="H11957" s="4"/>
    </row>
    <row r="11958" spans="5:8" x14ac:dyDescent="0.25">
      <c r="E11958" s="34"/>
      <c r="G11958" s="34"/>
      <c r="H11958" s="4"/>
    </row>
    <row r="11959" spans="5:8" x14ac:dyDescent="0.25">
      <c r="E11959" s="34"/>
      <c r="G11959" s="34"/>
      <c r="H11959" s="4"/>
    </row>
    <row r="11960" spans="5:8" x14ac:dyDescent="0.25">
      <c r="E11960" s="34"/>
      <c r="G11960" s="34"/>
      <c r="H11960" s="4"/>
    </row>
    <row r="11961" spans="5:8" x14ac:dyDescent="0.25">
      <c r="E11961" s="34"/>
      <c r="G11961" s="34"/>
      <c r="H11961" s="4"/>
    </row>
    <row r="11962" spans="5:8" x14ac:dyDescent="0.25">
      <c r="E11962" s="34"/>
      <c r="G11962" s="34"/>
      <c r="H11962" s="4"/>
    </row>
    <row r="11963" spans="5:8" x14ac:dyDescent="0.25">
      <c r="E11963" s="34"/>
      <c r="G11963" s="34"/>
      <c r="H11963" s="4"/>
    </row>
    <row r="11964" spans="5:8" x14ac:dyDescent="0.25">
      <c r="E11964" s="34"/>
      <c r="G11964" s="34"/>
      <c r="H11964" s="4"/>
    </row>
    <row r="11965" spans="5:8" x14ac:dyDescent="0.25">
      <c r="E11965" s="34"/>
      <c r="G11965" s="34"/>
      <c r="H11965" s="4"/>
    </row>
    <row r="11966" spans="5:8" x14ac:dyDescent="0.25">
      <c r="E11966" s="34"/>
      <c r="G11966" s="34"/>
      <c r="H11966" s="4"/>
    </row>
    <row r="11967" spans="5:8" x14ac:dyDescent="0.25">
      <c r="E11967" s="34"/>
      <c r="G11967" s="34"/>
      <c r="H11967" s="4"/>
    </row>
    <row r="11968" spans="5:8" x14ac:dyDescent="0.25">
      <c r="E11968" s="34"/>
      <c r="G11968" s="34"/>
      <c r="H11968" s="4"/>
    </row>
    <row r="11969" spans="5:8" x14ac:dyDescent="0.25">
      <c r="E11969" s="34"/>
      <c r="G11969" s="34"/>
      <c r="H11969" s="4"/>
    </row>
    <row r="11970" spans="5:8" x14ac:dyDescent="0.25">
      <c r="E11970" s="34"/>
      <c r="G11970" s="34"/>
      <c r="H11970" s="4"/>
    </row>
    <row r="11971" spans="5:8" x14ac:dyDescent="0.25">
      <c r="E11971" s="34"/>
      <c r="G11971" s="34"/>
      <c r="H11971" s="4"/>
    </row>
    <row r="11972" spans="5:8" x14ac:dyDescent="0.25">
      <c r="E11972" s="34"/>
      <c r="G11972" s="34"/>
      <c r="H11972" s="4"/>
    </row>
    <row r="11973" spans="5:8" x14ac:dyDescent="0.25">
      <c r="E11973" s="34"/>
      <c r="G11973" s="34"/>
      <c r="H11973" s="4"/>
    </row>
    <row r="11974" spans="5:8" x14ac:dyDescent="0.25">
      <c r="E11974" s="34"/>
      <c r="G11974" s="34"/>
      <c r="H11974" s="4"/>
    </row>
    <row r="11975" spans="5:8" x14ac:dyDescent="0.25">
      <c r="E11975" s="34"/>
      <c r="G11975" s="34"/>
      <c r="H11975" s="4"/>
    </row>
    <row r="11976" spans="5:8" x14ac:dyDescent="0.25">
      <c r="E11976" s="34"/>
      <c r="G11976" s="34"/>
      <c r="H11976" s="4"/>
    </row>
    <row r="11977" spans="5:8" x14ac:dyDescent="0.25">
      <c r="E11977" s="34"/>
      <c r="G11977" s="34"/>
      <c r="H11977" s="4"/>
    </row>
    <row r="11978" spans="5:8" x14ac:dyDescent="0.25">
      <c r="E11978" s="34"/>
      <c r="G11978" s="34"/>
      <c r="H11978" s="4"/>
    </row>
    <row r="11979" spans="5:8" x14ac:dyDescent="0.25">
      <c r="E11979" s="34"/>
      <c r="G11979" s="34"/>
      <c r="H11979" s="4"/>
    </row>
    <row r="11980" spans="5:8" x14ac:dyDescent="0.25">
      <c r="E11980" s="34"/>
      <c r="G11980" s="34"/>
      <c r="H11980" s="4"/>
    </row>
    <row r="11981" spans="5:8" x14ac:dyDescent="0.25">
      <c r="E11981" s="34"/>
      <c r="G11981" s="34"/>
      <c r="H11981" s="4"/>
    </row>
    <row r="11982" spans="5:8" x14ac:dyDescent="0.25">
      <c r="E11982" s="34"/>
      <c r="G11982" s="34"/>
      <c r="H11982" s="4"/>
    </row>
    <row r="11983" spans="5:8" x14ac:dyDescent="0.25">
      <c r="E11983" s="34"/>
      <c r="G11983" s="34"/>
      <c r="H11983" s="4"/>
    </row>
    <row r="11984" spans="5:8" x14ac:dyDescent="0.25">
      <c r="E11984" s="34"/>
      <c r="G11984" s="34"/>
      <c r="H11984" s="4"/>
    </row>
    <row r="11985" spans="5:8" x14ac:dyDescent="0.25">
      <c r="E11985" s="34"/>
      <c r="G11985" s="34"/>
      <c r="H11985" s="4"/>
    </row>
    <row r="11986" spans="5:8" x14ac:dyDescent="0.25">
      <c r="E11986" s="34"/>
      <c r="G11986" s="34"/>
      <c r="H11986" s="4"/>
    </row>
    <row r="11987" spans="5:8" x14ac:dyDescent="0.25">
      <c r="E11987" s="34"/>
      <c r="G11987" s="34"/>
      <c r="H11987" s="4"/>
    </row>
    <row r="11988" spans="5:8" x14ac:dyDescent="0.25">
      <c r="E11988" s="34"/>
      <c r="G11988" s="34"/>
      <c r="H11988" s="4"/>
    </row>
    <row r="11989" spans="5:8" x14ac:dyDescent="0.25">
      <c r="E11989" s="34"/>
      <c r="G11989" s="34"/>
      <c r="H11989" s="4"/>
    </row>
    <row r="11990" spans="5:8" x14ac:dyDescent="0.25">
      <c r="E11990" s="34"/>
      <c r="G11990" s="34"/>
      <c r="H11990" s="4"/>
    </row>
    <row r="11991" spans="5:8" x14ac:dyDescent="0.25">
      <c r="E11991" s="34"/>
      <c r="G11991" s="34"/>
      <c r="H11991" s="4"/>
    </row>
    <row r="11992" spans="5:8" x14ac:dyDescent="0.25">
      <c r="E11992" s="34"/>
      <c r="G11992" s="34"/>
      <c r="H11992" s="4"/>
    </row>
    <row r="11993" spans="5:8" x14ac:dyDescent="0.25">
      <c r="E11993" s="34"/>
      <c r="G11993" s="34"/>
      <c r="H11993" s="4"/>
    </row>
    <row r="11994" spans="5:8" x14ac:dyDescent="0.25">
      <c r="E11994" s="34"/>
      <c r="G11994" s="34"/>
      <c r="H11994" s="4"/>
    </row>
    <row r="11995" spans="5:8" x14ac:dyDescent="0.25">
      <c r="E11995" s="34"/>
      <c r="G11995" s="34"/>
      <c r="H11995" s="4"/>
    </row>
    <row r="11996" spans="5:8" x14ac:dyDescent="0.25">
      <c r="E11996" s="34"/>
      <c r="G11996" s="34"/>
      <c r="H11996" s="4"/>
    </row>
    <row r="11997" spans="5:8" x14ac:dyDescent="0.25">
      <c r="E11997" s="34"/>
      <c r="G11997" s="34"/>
      <c r="H11997" s="4"/>
    </row>
    <row r="11998" spans="5:8" x14ac:dyDescent="0.25">
      <c r="E11998" s="34"/>
      <c r="G11998" s="34"/>
      <c r="H11998" s="4"/>
    </row>
    <row r="11999" spans="5:8" x14ac:dyDescent="0.25">
      <c r="E11999" s="34"/>
      <c r="G11999" s="34"/>
      <c r="H11999" s="4"/>
    </row>
    <row r="12000" spans="5:8" x14ac:dyDescent="0.25">
      <c r="E12000" s="34"/>
      <c r="G12000" s="34"/>
      <c r="H12000" s="4"/>
    </row>
    <row r="12001" spans="5:8" x14ac:dyDescent="0.25">
      <c r="E12001" s="34"/>
      <c r="G12001" s="34"/>
      <c r="H12001" s="4"/>
    </row>
    <row r="12002" spans="5:8" x14ac:dyDescent="0.25">
      <c r="E12002" s="34"/>
      <c r="G12002" s="34"/>
      <c r="H12002" s="4"/>
    </row>
    <row r="12003" spans="5:8" x14ac:dyDescent="0.25">
      <c r="E12003" s="34"/>
      <c r="G12003" s="34"/>
      <c r="H12003" s="4"/>
    </row>
    <row r="12004" spans="5:8" x14ac:dyDescent="0.25">
      <c r="E12004" s="34"/>
      <c r="G12004" s="34"/>
      <c r="H12004" s="4"/>
    </row>
    <row r="12005" spans="5:8" x14ac:dyDescent="0.25">
      <c r="E12005" s="34"/>
      <c r="G12005" s="34"/>
      <c r="H12005" s="4"/>
    </row>
    <row r="12006" spans="5:8" x14ac:dyDescent="0.25">
      <c r="E12006" s="34"/>
      <c r="G12006" s="34"/>
      <c r="H12006" s="4"/>
    </row>
    <row r="12007" spans="5:8" x14ac:dyDescent="0.25">
      <c r="E12007" s="34"/>
      <c r="G12007" s="34"/>
      <c r="H12007" s="4"/>
    </row>
    <row r="12008" spans="5:8" x14ac:dyDescent="0.25">
      <c r="E12008" s="34"/>
      <c r="G12008" s="34"/>
      <c r="H12008" s="4"/>
    </row>
    <row r="12009" spans="5:8" x14ac:dyDescent="0.25">
      <c r="E12009" s="34"/>
      <c r="G12009" s="34"/>
      <c r="H12009" s="4"/>
    </row>
    <row r="12010" spans="5:8" x14ac:dyDescent="0.25">
      <c r="E12010" s="34"/>
      <c r="G12010" s="34"/>
      <c r="H12010" s="4"/>
    </row>
    <row r="12011" spans="5:8" x14ac:dyDescent="0.25">
      <c r="E12011" s="34"/>
      <c r="G12011" s="34"/>
      <c r="H12011" s="4"/>
    </row>
    <row r="12012" spans="5:8" x14ac:dyDescent="0.25">
      <c r="E12012" s="34"/>
      <c r="G12012" s="34"/>
      <c r="H12012" s="4"/>
    </row>
    <row r="12013" spans="5:8" x14ac:dyDescent="0.25">
      <c r="E12013" s="34"/>
      <c r="G12013" s="34"/>
      <c r="H12013" s="4"/>
    </row>
    <row r="12014" spans="5:8" x14ac:dyDescent="0.25">
      <c r="E12014" s="34"/>
      <c r="G12014" s="34"/>
      <c r="H12014" s="4"/>
    </row>
    <row r="12015" spans="5:8" x14ac:dyDescent="0.25">
      <c r="E12015" s="34"/>
      <c r="G12015" s="34"/>
      <c r="H12015" s="4"/>
    </row>
    <row r="12016" spans="5:8" x14ac:dyDescent="0.25">
      <c r="E12016" s="34"/>
      <c r="G12016" s="34"/>
      <c r="H12016" s="4"/>
    </row>
    <row r="12017" spans="5:8" x14ac:dyDescent="0.25">
      <c r="E12017" s="34"/>
      <c r="G12017" s="34"/>
      <c r="H12017" s="4"/>
    </row>
    <row r="12018" spans="5:8" x14ac:dyDescent="0.25">
      <c r="E12018" s="34"/>
      <c r="G12018" s="34"/>
      <c r="H12018" s="4"/>
    </row>
    <row r="12019" spans="5:8" x14ac:dyDescent="0.25">
      <c r="E12019" s="34"/>
      <c r="G12019" s="34"/>
      <c r="H12019" s="4"/>
    </row>
    <row r="12020" spans="5:8" x14ac:dyDescent="0.25">
      <c r="E12020" s="34"/>
      <c r="G12020" s="34"/>
      <c r="H12020" s="4"/>
    </row>
    <row r="12021" spans="5:8" x14ac:dyDescent="0.25">
      <c r="E12021" s="34"/>
      <c r="G12021" s="34"/>
      <c r="H12021" s="4"/>
    </row>
    <row r="12022" spans="5:8" x14ac:dyDescent="0.25">
      <c r="E12022" s="34"/>
      <c r="G12022" s="34"/>
      <c r="H12022" s="4"/>
    </row>
    <row r="12023" spans="5:8" x14ac:dyDescent="0.25">
      <c r="E12023" s="34"/>
      <c r="G12023" s="34"/>
      <c r="H12023" s="4"/>
    </row>
    <row r="12024" spans="5:8" x14ac:dyDescent="0.25">
      <c r="E12024" s="34"/>
      <c r="G12024" s="34"/>
      <c r="H12024" s="4"/>
    </row>
    <row r="12025" spans="5:8" x14ac:dyDescent="0.25">
      <c r="E12025" s="34"/>
      <c r="G12025" s="34"/>
      <c r="H12025" s="4"/>
    </row>
    <row r="12026" spans="5:8" x14ac:dyDescent="0.25">
      <c r="E12026" s="34"/>
      <c r="G12026" s="34"/>
      <c r="H12026" s="4"/>
    </row>
    <row r="12027" spans="5:8" x14ac:dyDescent="0.25">
      <c r="E12027" s="34"/>
      <c r="G12027" s="34"/>
      <c r="H12027" s="4"/>
    </row>
    <row r="12028" spans="5:8" x14ac:dyDescent="0.25">
      <c r="E12028" s="34"/>
      <c r="G12028" s="34"/>
      <c r="H12028" s="4"/>
    </row>
    <row r="12029" spans="5:8" x14ac:dyDescent="0.25">
      <c r="E12029" s="34"/>
      <c r="G12029" s="34"/>
      <c r="H12029" s="4"/>
    </row>
    <row r="12030" spans="5:8" x14ac:dyDescent="0.25">
      <c r="E12030" s="34"/>
      <c r="G12030" s="34"/>
      <c r="H12030" s="4"/>
    </row>
    <row r="12031" spans="5:8" x14ac:dyDescent="0.25">
      <c r="E12031" s="34"/>
      <c r="G12031" s="34"/>
      <c r="H12031" s="4"/>
    </row>
    <row r="12032" spans="5:8" x14ac:dyDescent="0.25">
      <c r="E12032" s="34"/>
      <c r="G12032" s="34"/>
      <c r="H12032" s="4"/>
    </row>
    <row r="12033" spans="5:8" x14ac:dyDescent="0.25">
      <c r="E12033" s="34"/>
      <c r="G12033" s="34"/>
      <c r="H12033" s="4"/>
    </row>
    <row r="12034" spans="5:8" x14ac:dyDescent="0.25">
      <c r="E12034" s="34"/>
      <c r="G12034" s="34"/>
      <c r="H12034" s="4"/>
    </row>
    <row r="12035" spans="5:8" x14ac:dyDescent="0.25">
      <c r="E12035" s="34"/>
      <c r="G12035" s="34"/>
      <c r="H12035" s="4"/>
    </row>
    <row r="12036" spans="5:8" x14ac:dyDescent="0.25">
      <c r="E12036" s="34"/>
      <c r="G12036" s="34"/>
      <c r="H12036" s="4"/>
    </row>
    <row r="12037" spans="5:8" x14ac:dyDescent="0.25">
      <c r="E12037" s="34"/>
      <c r="G12037" s="34"/>
      <c r="H12037" s="4"/>
    </row>
    <row r="12038" spans="5:8" x14ac:dyDescent="0.25">
      <c r="E12038" s="34"/>
      <c r="G12038" s="34"/>
      <c r="H12038" s="4"/>
    </row>
    <row r="12039" spans="5:8" x14ac:dyDescent="0.25">
      <c r="E12039" s="34"/>
      <c r="G12039" s="34"/>
      <c r="H12039" s="4"/>
    </row>
    <row r="12040" spans="5:8" x14ac:dyDescent="0.25">
      <c r="E12040" s="34"/>
      <c r="G12040" s="34"/>
      <c r="H12040" s="4"/>
    </row>
    <row r="12041" spans="5:8" x14ac:dyDescent="0.25">
      <c r="E12041" s="34"/>
      <c r="G12041" s="34"/>
      <c r="H12041" s="4"/>
    </row>
    <row r="12042" spans="5:8" x14ac:dyDescent="0.25">
      <c r="E12042" s="34"/>
      <c r="G12042" s="34"/>
      <c r="H12042" s="4"/>
    </row>
    <row r="12043" spans="5:8" x14ac:dyDescent="0.25">
      <c r="E12043" s="34"/>
      <c r="G12043" s="34"/>
      <c r="H12043" s="4"/>
    </row>
    <row r="12044" spans="5:8" x14ac:dyDescent="0.25">
      <c r="E12044" s="34"/>
      <c r="G12044" s="34"/>
      <c r="H12044" s="4"/>
    </row>
    <row r="12045" spans="5:8" x14ac:dyDescent="0.25">
      <c r="E12045" s="34"/>
      <c r="G12045" s="34"/>
      <c r="H12045" s="4"/>
    </row>
    <row r="12046" spans="5:8" x14ac:dyDescent="0.25">
      <c r="E12046" s="34"/>
      <c r="G12046" s="34"/>
      <c r="H12046" s="4"/>
    </row>
    <row r="12047" spans="5:8" x14ac:dyDescent="0.25">
      <c r="E12047" s="34"/>
      <c r="G12047" s="34"/>
      <c r="H12047" s="4"/>
    </row>
    <row r="12048" spans="5:8" x14ac:dyDescent="0.25">
      <c r="E12048" s="34"/>
      <c r="G12048" s="34"/>
      <c r="H12048" s="4"/>
    </row>
    <row r="12049" spans="5:8" x14ac:dyDescent="0.25">
      <c r="E12049" s="34"/>
      <c r="G12049" s="34"/>
      <c r="H12049" s="4"/>
    </row>
    <row r="12050" spans="5:8" x14ac:dyDescent="0.25">
      <c r="E12050" s="34"/>
      <c r="G12050" s="34"/>
      <c r="H12050" s="4"/>
    </row>
    <row r="12051" spans="5:8" x14ac:dyDescent="0.25">
      <c r="E12051" s="34"/>
      <c r="G12051" s="34"/>
      <c r="H12051" s="4"/>
    </row>
    <row r="12052" spans="5:8" x14ac:dyDescent="0.25">
      <c r="E12052" s="34"/>
      <c r="G12052" s="34"/>
      <c r="H12052" s="4"/>
    </row>
    <row r="12053" spans="5:8" x14ac:dyDescent="0.25">
      <c r="E12053" s="34"/>
      <c r="G12053" s="34"/>
      <c r="H12053" s="4"/>
    </row>
    <row r="12054" spans="5:8" x14ac:dyDescent="0.25">
      <c r="E12054" s="34"/>
      <c r="G12054" s="34"/>
      <c r="H12054" s="4"/>
    </row>
    <row r="12055" spans="5:8" x14ac:dyDescent="0.25">
      <c r="E12055" s="34"/>
      <c r="G12055" s="34"/>
      <c r="H12055" s="4"/>
    </row>
    <row r="12056" spans="5:8" x14ac:dyDescent="0.25">
      <c r="E12056" s="34"/>
      <c r="G12056" s="34"/>
      <c r="H12056" s="4"/>
    </row>
    <row r="12057" spans="5:8" x14ac:dyDescent="0.25">
      <c r="E12057" s="34"/>
      <c r="G12057" s="34"/>
      <c r="H12057" s="4"/>
    </row>
    <row r="12058" spans="5:8" x14ac:dyDescent="0.25">
      <c r="E12058" s="34"/>
      <c r="G12058" s="34"/>
      <c r="H12058" s="4"/>
    </row>
    <row r="12059" spans="5:8" x14ac:dyDescent="0.25">
      <c r="E12059" s="34"/>
      <c r="G12059" s="34"/>
      <c r="H12059" s="4"/>
    </row>
    <row r="12060" spans="5:8" x14ac:dyDescent="0.25">
      <c r="E12060" s="34"/>
      <c r="G12060" s="34"/>
      <c r="H12060" s="4"/>
    </row>
    <row r="12061" spans="5:8" x14ac:dyDescent="0.25">
      <c r="E12061" s="34"/>
      <c r="G12061" s="34"/>
      <c r="H12061" s="4"/>
    </row>
    <row r="12062" spans="5:8" x14ac:dyDescent="0.25">
      <c r="E12062" s="34"/>
      <c r="G12062" s="34"/>
      <c r="H12062" s="4"/>
    </row>
    <row r="12063" spans="5:8" x14ac:dyDescent="0.25">
      <c r="E12063" s="34"/>
      <c r="G12063" s="34"/>
      <c r="H12063" s="4"/>
    </row>
    <row r="12064" spans="5:8" x14ac:dyDescent="0.25">
      <c r="E12064" s="34"/>
      <c r="G12064" s="34"/>
      <c r="H12064" s="4"/>
    </row>
    <row r="12065" spans="5:8" x14ac:dyDescent="0.25">
      <c r="E12065" s="34"/>
      <c r="G12065" s="34"/>
      <c r="H12065" s="4"/>
    </row>
    <row r="12066" spans="5:8" x14ac:dyDescent="0.25">
      <c r="E12066" s="34"/>
      <c r="G12066" s="34"/>
      <c r="H12066" s="4"/>
    </row>
    <row r="12067" spans="5:8" x14ac:dyDescent="0.25">
      <c r="E12067" s="34"/>
      <c r="G12067" s="34"/>
      <c r="H12067" s="4"/>
    </row>
    <row r="12068" spans="5:8" x14ac:dyDescent="0.25">
      <c r="E12068" s="34"/>
      <c r="G12068" s="34"/>
      <c r="H12068" s="4"/>
    </row>
    <row r="12069" spans="5:8" x14ac:dyDescent="0.25">
      <c r="E12069" s="34"/>
      <c r="G12069" s="34"/>
      <c r="H12069" s="4"/>
    </row>
    <row r="12070" spans="5:8" x14ac:dyDescent="0.25">
      <c r="E12070" s="34"/>
      <c r="G12070" s="34"/>
      <c r="H12070" s="4"/>
    </row>
    <row r="12071" spans="5:8" x14ac:dyDescent="0.25">
      <c r="E12071" s="34"/>
      <c r="G12071" s="34"/>
      <c r="H12071" s="4"/>
    </row>
    <row r="12072" spans="5:8" x14ac:dyDescent="0.25">
      <c r="E12072" s="34"/>
      <c r="G12072" s="34"/>
      <c r="H12072" s="4"/>
    </row>
    <row r="12073" spans="5:8" x14ac:dyDescent="0.25">
      <c r="E12073" s="34"/>
      <c r="G12073" s="34"/>
      <c r="H12073" s="4"/>
    </row>
    <row r="12074" spans="5:8" x14ac:dyDescent="0.25">
      <c r="E12074" s="34"/>
      <c r="G12074" s="34"/>
      <c r="H12074" s="4"/>
    </row>
    <row r="12075" spans="5:8" x14ac:dyDescent="0.25">
      <c r="E12075" s="34"/>
      <c r="G12075" s="34"/>
      <c r="H12075" s="4"/>
    </row>
    <row r="12076" spans="5:8" x14ac:dyDescent="0.25">
      <c r="E12076" s="34"/>
      <c r="G12076" s="34"/>
      <c r="H12076" s="4"/>
    </row>
    <row r="12077" spans="5:8" x14ac:dyDescent="0.25">
      <c r="E12077" s="34"/>
      <c r="G12077" s="34"/>
      <c r="H12077" s="4"/>
    </row>
    <row r="12078" spans="5:8" x14ac:dyDescent="0.25">
      <c r="E12078" s="34"/>
      <c r="G12078" s="34"/>
      <c r="H12078" s="4"/>
    </row>
    <row r="12079" spans="5:8" x14ac:dyDescent="0.25">
      <c r="E12079" s="34"/>
      <c r="G12079" s="34"/>
      <c r="H12079" s="4"/>
    </row>
    <row r="12080" spans="5:8" x14ac:dyDescent="0.25">
      <c r="E12080" s="34"/>
      <c r="G12080" s="34"/>
      <c r="H12080" s="4"/>
    </row>
    <row r="12081" spans="5:8" x14ac:dyDescent="0.25">
      <c r="E12081" s="34"/>
      <c r="G12081" s="34"/>
      <c r="H12081" s="4"/>
    </row>
    <row r="12082" spans="5:8" x14ac:dyDescent="0.25">
      <c r="E12082" s="34"/>
      <c r="G12082" s="34"/>
      <c r="H12082" s="4"/>
    </row>
    <row r="12083" spans="5:8" x14ac:dyDescent="0.25">
      <c r="E12083" s="34"/>
      <c r="G12083" s="34"/>
      <c r="H12083" s="4"/>
    </row>
    <row r="12084" spans="5:8" x14ac:dyDescent="0.25">
      <c r="E12084" s="34"/>
      <c r="G12084" s="34"/>
      <c r="H12084" s="4"/>
    </row>
    <row r="12085" spans="5:8" x14ac:dyDescent="0.25">
      <c r="E12085" s="34"/>
      <c r="G12085" s="34"/>
      <c r="H12085" s="4"/>
    </row>
    <row r="12086" spans="5:8" x14ac:dyDescent="0.25">
      <c r="E12086" s="34"/>
      <c r="G12086" s="34"/>
      <c r="H12086" s="4"/>
    </row>
    <row r="12087" spans="5:8" x14ac:dyDescent="0.25">
      <c r="E12087" s="34"/>
      <c r="G12087" s="34"/>
      <c r="H12087" s="4"/>
    </row>
    <row r="12088" spans="5:8" x14ac:dyDescent="0.25">
      <c r="E12088" s="34"/>
      <c r="G12088" s="34"/>
      <c r="H12088" s="4"/>
    </row>
    <row r="12089" spans="5:8" x14ac:dyDescent="0.25">
      <c r="E12089" s="34"/>
      <c r="G12089" s="34"/>
      <c r="H12089" s="4"/>
    </row>
    <row r="12090" spans="5:8" x14ac:dyDescent="0.25">
      <c r="E12090" s="34"/>
      <c r="G12090" s="34"/>
      <c r="H12090" s="4"/>
    </row>
    <row r="12091" spans="5:8" x14ac:dyDescent="0.25">
      <c r="E12091" s="34"/>
      <c r="G12091" s="34"/>
      <c r="H12091" s="4"/>
    </row>
    <row r="12092" spans="5:8" x14ac:dyDescent="0.25">
      <c r="E12092" s="34"/>
      <c r="G12092" s="34"/>
      <c r="H12092" s="4"/>
    </row>
    <row r="12093" spans="5:8" x14ac:dyDescent="0.25">
      <c r="E12093" s="34"/>
      <c r="G12093" s="34"/>
      <c r="H12093" s="4"/>
    </row>
    <row r="12094" spans="5:8" x14ac:dyDescent="0.25">
      <c r="E12094" s="34"/>
      <c r="G12094" s="34"/>
      <c r="H12094" s="4"/>
    </row>
    <row r="12095" spans="5:8" x14ac:dyDescent="0.25">
      <c r="E12095" s="34"/>
      <c r="G12095" s="34"/>
      <c r="H12095" s="4"/>
    </row>
    <row r="12096" spans="5:8" x14ac:dyDescent="0.25">
      <c r="E12096" s="34"/>
      <c r="G12096" s="34"/>
      <c r="H12096" s="4"/>
    </row>
    <row r="12097" spans="5:8" x14ac:dyDescent="0.25">
      <c r="E12097" s="34"/>
      <c r="G12097" s="34"/>
      <c r="H12097" s="4"/>
    </row>
    <row r="12098" spans="5:8" x14ac:dyDescent="0.25">
      <c r="E12098" s="34"/>
      <c r="G12098" s="34"/>
      <c r="H12098" s="4"/>
    </row>
    <row r="12099" spans="5:8" x14ac:dyDescent="0.25">
      <c r="E12099" s="34"/>
      <c r="G12099" s="34"/>
      <c r="H12099" s="4"/>
    </row>
    <row r="12100" spans="5:8" x14ac:dyDescent="0.25">
      <c r="E12100" s="34"/>
      <c r="G12100" s="34"/>
      <c r="H12100" s="4"/>
    </row>
    <row r="12101" spans="5:8" x14ac:dyDescent="0.25">
      <c r="E12101" s="34"/>
      <c r="G12101" s="34"/>
      <c r="H12101" s="4"/>
    </row>
    <row r="12102" spans="5:8" x14ac:dyDescent="0.25">
      <c r="E12102" s="34"/>
      <c r="G12102" s="34"/>
      <c r="H12102" s="4"/>
    </row>
    <row r="12103" spans="5:8" x14ac:dyDescent="0.25">
      <c r="E12103" s="34"/>
      <c r="G12103" s="34"/>
      <c r="H12103" s="4"/>
    </row>
    <row r="12104" spans="5:8" x14ac:dyDescent="0.25">
      <c r="E12104" s="34"/>
      <c r="G12104" s="34"/>
      <c r="H12104" s="4"/>
    </row>
    <row r="12105" spans="5:8" x14ac:dyDescent="0.25">
      <c r="E12105" s="34"/>
      <c r="G12105" s="34"/>
      <c r="H12105" s="4"/>
    </row>
    <row r="12106" spans="5:8" x14ac:dyDescent="0.25">
      <c r="E12106" s="34"/>
      <c r="G12106" s="34"/>
      <c r="H12106" s="4"/>
    </row>
    <row r="12107" spans="5:8" x14ac:dyDescent="0.25">
      <c r="E12107" s="34"/>
      <c r="G12107" s="34"/>
      <c r="H12107" s="4"/>
    </row>
    <row r="12108" spans="5:8" x14ac:dyDescent="0.25">
      <c r="E12108" s="34"/>
      <c r="G12108" s="34"/>
      <c r="H12108" s="4"/>
    </row>
    <row r="12109" spans="5:8" x14ac:dyDescent="0.25">
      <c r="E12109" s="34"/>
      <c r="G12109" s="34"/>
      <c r="H12109" s="4"/>
    </row>
    <row r="12110" spans="5:8" x14ac:dyDescent="0.25">
      <c r="E12110" s="34"/>
      <c r="G12110" s="34"/>
      <c r="H12110" s="4"/>
    </row>
    <row r="12111" spans="5:8" x14ac:dyDescent="0.25">
      <c r="E12111" s="34"/>
      <c r="G12111" s="34"/>
      <c r="H12111" s="4"/>
    </row>
    <row r="12112" spans="5:8" x14ac:dyDescent="0.25">
      <c r="E12112" s="34"/>
      <c r="G12112" s="34"/>
      <c r="H12112" s="4"/>
    </row>
    <row r="12113" spans="5:8" x14ac:dyDescent="0.25">
      <c r="E12113" s="34"/>
      <c r="G12113" s="34"/>
      <c r="H12113" s="4"/>
    </row>
    <row r="12114" spans="5:8" x14ac:dyDescent="0.25">
      <c r="E12114" s="34"/>
      <c r="G12114" s="34"/>
      <c r="H12114" s="4"/>
    </row>
    <row r="12115" spans="5:8" x14ac:dyDescent="0.25">
      <c r="E12115" s="34"/>
      <c r="G12115" s="34"/>
      <c r="H12115" s="4"/>
    </row>
    <row r="12116" spans="5:8" x14ac:dyDescent="0.25">
      <c r="E12116" s="34"/>
      <c r="G12116" s="34"/>
      <c r="H12116" s="4"/>
    </row>
    <row r="12117" spans="5:8" x14ac:dyDescent="0.25">
      <c r="E12117" s="34"/>
      <c r="G12117" s="34"/>
      <c r="H12117" s="4"/>
    </row>
    <row r="12118" spans="5:8" x14ac:dyDescent="0.25">
      <c r="E12118" s="34"/>
      <c r="G12118" s="34"/>
      <c r="H12118" s="4"/>
    </row>
    <row r="12119" spans="5:8" x14ac:dyDescent="0.25">
      <c r="E12119" s="34"/>
      <c r="G12119" s="34"/>
      <c r="H12119" s="4"/>
    </row>
    <row r="12120" spans="5:8" x14ac:dyDescent="0.25">
      <c r="E12120" s="34"/>
      <c r="G12120" s="34"/>
      <c r="H12120" s="4"/>
    </row>
    <row r="12121" spans="5:8" x14ac:dyDescent="0.25">
      <c r="E12121" s="34"/>
      <c r="G12121" s="34"/>
      <c r="H12121" s="4"/>
    </row>
    <row r="12122" spans="5:8" x14ac:dyDescent="0.25">
      <c r="E12122" s="34"/>
      <c r="G12122" s="34"/>
      <c r="H12122" s="4"/>
    </row>
    <row r="12123" spans="5:8" x14ac:dyDescent="0.25">
      <c r="E12123" s="34"/>
      <c r="G12123" s="34"/>
      <c r="H12123" s="4"/>
    </row>
    <row r="12124" spans="5:8" x14ac:dyDescent="0.25">
      <c r="E12124" s="34"/>
      <c r="G12124" s="34"/>
      <c r="H12124" s="4"/>
    </row>
    <row r="12125" spans="5:8" x14ac:dyDescent="0.25">
      <c r="E12125" s="34"/>
      <c r="G12125" s="34"/>
      <c r="H12125" s="4"/>
    </row>
    <row r="12126" spans="5:8" x14ac:dyDescent="0.25">
      <c r="E12126" s="34"/>
      <c r="G12126" s="34"/>
      <c r="H12126" s="4"/>
    </row>
    <row r="12127" spans="5:8" x14ac:dyDescent="0.25">
      <c r="E12127" s="34"/>
      <c r="G12127" s="34"/>
      <c r="H12127" s="4"/>
    </row>
    <row r="12128" spans="5:8" x14ac:dyDescent="0.25">
      <c r="E12128" s="34"/>
      <c r="G12128" s="34"/>
      <c r="H12128" s="4"/>
    </row>
    <row r="12129" spans="5:8" x14ac:dyDescent="0.25">
      <c r="E12129" s="34"/>
      <c r="G12129" s="34"/>
      <c r="H12129" s="4"/>
    </row>
    <row r="12130" spans="5:8" x14ac:dyDescent="0.25">
      <c r="E12130" s="34"/>
      <c r="G12130" s="34"/>
      <c r="H12130" s="4"/>
    </row>
    <row r="12131" spans="5:8" x14ac:dyDescent="0.25">
      <c r="E12131" s="34"/>
      <c r="G12131" s="34"/>
      <c r="H12131" s="4"/>
    </row>
    <row r="12132" spans="5:8" x14ac:dyDescent="0.25">
      <c r="E12132" s="34"/>
      <c r="G12132" s="34"/>
      <c r="H12132" s="4"/>
    </row>
    <row r="12133" spans="5:8" x14ac:dyDescent="0.25">
      <c r="E12133" s="34"/>
      <c r="G12133" s="34"/>
      <c r="H12133" s="4"/>
    </row>
    <row r="12134" spans="5:8" x14ac:dyDescent="0.25">
      <c r="E12134" s="34"/>
      <c r="G12134" s="34"/>
      <c r="H12134" s="4"/>
    </row>
    <row r="12135" spans="5:8" x14ac:dyDescent="0.25">
      <c r="E12135" s="34"/>
      <c r="G12135" s="34"/>
      <c r="H12135" s="4"/>
    </row>
    <row r="12136" spans="5:8" x14ac:dyDescent="0.25">
      <c r="E12136" s="34"/>
      <c r="G12136" s="34"/>
      <c r="H12136" s="4"/>
    </row>
    <row r="12137" spans="5:8" x14ac:dyDescent="0.25">
      <c r="E12137" s="34"/>
      <c r="G12137" s="34"/>
      <c r="H12137" s="4"/>
    </row>
    <row r="12138" spans="5:8" x14ac:dyDescent="0.25">
      <c r="E12138" s="34"/>
      <c r="G12138" s="34"/>
      <c r="H12138" s="4"/>
    </row>
    <row r="12139" spans="5:8" x14ac:dyDescent="0.25">
      <c r="E12139" s="34"/>
      <c r="G12139" s="34"/>
      <c r="H12139" s="4"/>
    </row>
    <row r="12140" spans="5:8" x14ac:dyDescent="0.25">
      <c r="E12140" s="34"/>
      <c r="G12140" s="34"/>
      <c r="H12140" s="4"/>
    </row>
    <row r="12141" spans="5:8" x14ac:dyDescent="0.25">
      <c r="E12141" s="34"/>
      <c r="G12141" s="34"/>
      <c r="H12141" s="4"/>
    </row>
    <row r="12142" spans="5:8" x14ac:dyDescent="0.25">
      <c r="E12142" s="34"/>
      <c r="G12142" s="34"/>
      <c r="H12142" s="4"/>
    </row>
    <row r="12143" spans="5:8" x14ac:dyDescent="0.25">
      <c r="E12143" s="34"/>
      <c r="G12143" s="34"/>
      <c r="H12143" s="4"/>
    </row>
    <row r="12144" spans="5:8" x14ac:dyDescent="0.25">
      <c r="E12144" s="34"/>
      <c r="G12144" s="34"/>
      <c r="H12144" s="4"/>
    </row>
    <row r="12145" spans="5:8" x14ac:dyDescent="0.25">
      <c r="E12145" s="34"/>
      <c r="G12145" s="34"/>
      <c r="H12145" s="4"/>
    </row>
    <row r="12146" spans="5:8" x14ac:dyDescent="0.25">
      <c r="E12146" s="34"/>
      <c r="G12146" s="34"/>
      <c r="H12146" s="4"/>
    </row>
    <row r="12147" spans="5:8" x14ac:dyDescent="0.25">
      <c r="E12147" s="34"/>
      <c r="G12147" s="34"/>
      <c r="H12147" s="4"/>
    </row>
    <row r="12148" spans="5:8" x14ac:dyDescent="0.25">
      <c r="E12148" s="34"/>
      <c r="G12148" s="34"/>
      <c r="H12148" s="4"/>
    </row>
    <row r="12149" spans="5:8" x14ac:dyDescent="0.25">
      <c r="E12149" s="34"/>
      <c r="G12149" s="34"/>
      <c r="H12149" s="4"/>
    </row>
    <row r="12150" spans="5:8" x14ac:dyDescent="0.25">
      <c r="E12150" s="34"/>
      <c r="G12150" s="34"/>
      <c r="H12150" s="4"/>
    </row>
    <row r="12151" spans="5:8" x14ac:dyDescent="0.25">
      <c r="E12151" s="34"/>
      <c r="G12151" s="34"/>
      <c r="H12151" s="4"/>
    </row>
    <row r="12152" spans="5:8" x14ac:dyDescent="0.25">
      <c r="E12152" s="34"/>
      <c r="G12152" s="34"/>
      <c r="H12152" s="4"/>
    </row>
    <row r="12153" spans="5:8" x14ac:dyDescent="0.25">
      <c r="E12153" s="34"/>
      <c r="G12153" s="34"/>
      <c r="H12153" s="4"/>
    </row>
    <row r="12154" spans="5:8" x14ac:dyDescent="0.25">
      <c r="E12154" s="34"/>
      <c r="G12154" s="34"/>
      <c r="H12154" s="4"/>
    </row>
    <row r="12155" spans="5:8" x14ac:dyDescent="0.25">
      <c r="E12155" s="34"/>
      <c r="G12155" s="34"/>
      <c r="H12155" s="4"/>
    </row>
    <row r="12156" spans="5:8" x14ac:dyDescent="0.25">
      <c r="E12156" s="34"/>
      <c r="G12156" s="34"/>
      <c r="H12156" s="4"/>
    </row>
    <row r="12157" spans="5:8" x14ac:dyDescent="0.25">
      <c r="E12157" s="34"/>
      <c r="G12157" s="34"/>
      <c r="H12157" s="4"/>
    </row>
    <row r="12158" spans="5:8" x14ac:dyDescent="0.25">
      <c r="E12158" s="34"/>
      <c r="G12158" s="34"/>
      <c r="H12158" s="4"/>
    </row>
    <row r="12159" spans="5:8" x14ac:dyDescent="0.25">
      <c r="E12159" s="34"/>
      <c r="G12159" s="34"/>
      <c r="H12159" s="4"/>
    </row>
    <row r="12160" spans="5:8" x14ac:dyDescent="0.25">
      <c r="E12160" s="34"/>
      <c r="G12160" s="34"/>
      <c r="H12160" s="4"/>
    </row>
    <row r="12161" spans="5:8" x14ac:dyDescent="0.25">
      <c r="E12161" s="34"/>
      <c r="G12161" s="34"/>
      <c r="H12161" s="4"/>
    </row>
    <row r="12162" spans="5:8" x14ac:dyDescent="0.25">
      <c r="E12162" s="34"/>
      <c r="G12162" s="34"/>
      <c r="H12162" s="4"/>
    </row>
    <row r="12163" spans="5:8" x14ac:dyDescent="0.25">
      <c r="E12163" s="34"/>
      <c r="G12163" s="34"/>
      <c r="H12163" s="4"/>
    </row>
    <row r="12164" spans="5:8" x14ac:dyDescent="0.25">
      <c r="E12164" s="34"/>
      <c r="G12164" s="34"/>
      <c r="H12164" s="4"/>
    </row>
    <row r="12165" spans="5:8" x14ac:dyDescent="0.25">
      <c r="E12165" s="34"/>
      <c r="G12165" s="34"/>
      <c r="H12165" s="4"/>
    </row>
    <row r="12166" spans="5:8" x14ac:dyDescent="0.25">
      <c r="E12166" s="34"/>
      <c r="G12166" s="34"/>
      <c r="H12166" s="4"/>
    </row>
    <row r="12167" spans="5:8" x14ac:dyDescent="0.25">
      <c r="E12167" s="34"/>
      <c r="G12167" s="34"/>
      <c r="H12167" s="4"/>
    </row>
    <row r="12168" spans="5:8" x14ac:dyDescent="0.25">
      <c r="E12168" s="34"/>
      <c r="G12168" s="34"/>
      <c r="H12168" s="4"/>
    </row>
    <row r="12169" spans="5:8" x14ac:dyDescent="0.25">
      <c r="E12169" s="34"/>
      <c r="G12169" s="34"/>
      <c r="H12169" s="4"/>
    </row>
    <row r="12170" spans="5:8" x14ac:dyDescent="0.25">
      <c r="E12170" s="34"/>
      <c r="G12170" s="34"/>
      <c r="H12170" s="4"/>
    </row>
    <row r="12171" spans="5:8" x14ac:dyDescent="0.25">
      <c r="E12171" s="34"/>
      <c r="G12171" s="34"/>
      <c r="H12171" s="4"/>
    </row>
    <row r="12172" spans="5:8" x14ac:dyDescent="0.25">
      <c r="E12172" s="34"/>
      <c r="G12172" s="34"/>
      <c r="H12172" s="4"/>
    </row>
    <row r="12173" spans="5:8" x14ac:dyDescent="0.25">
      <c r="E12173" s="34"/>
      <c r="G12173" s="34"/>
      <c r="H12173" s="4"/>
    </row>
    <row r="12174" spans="5:8" x14ac:dyDescent="0.25">
      <c r="E12174" s="34"/>
      <c r="G12174" s="34"/>
      <c r="H12174" s="4"/>
    </row>
    <row r="12175" spans="5:8" x14ac:dyDescent="0.25">
      <c r="E12175" s="34"/>
      <c r="G12175" s="34"/>
      <c r="H12175" s="4"/>
    </row>
    <row r="12176" spans="5:8" x14ac:dyDescent="0.25">
      <c r="E12176" s="34"/>
      <c r="G12176" s="34"/>
      <c r="H12176" s="4"/>
    </row>
    <row r="12177" spans="5:8" x14ac:dyDescent="0.25">
      <c r="E12177" s="34"/>
      <c r="G12177" s="34"/>
      <c r="H12177" s="4"/>
    </row>
    <row r="12178" spans="5:8" x14ac:dyDescent="0.25">
      <c r="E12178" s="34"/>
      <c r="G12178" s="34"/>
      <c r="H12178" s="4"/>
    </row>
    <row r="12179" spans="5:8" x14ac:dyDescent="0.25">
      <c r="E12179" s="34"/>
      <c r="G12179" s="34"/>
      <c r="H12179" s="4"/>
    </row>
    <row r="12180" spans="5:8" x14ac:dyDescent="0.25">
      <c r="E12180" s="34"/>
      <c r="G12180" s="34"/>
      <c r="H12180" s="4"/>
    </row>
    <row r="12181" spans="5:8" x14ac:dyDescent="0.25">
      <c r="E12181" s="34"/>
      <c r="G12181" s="34"/>
      <c r="H12181" s="4"/>
    </row>
    <row r="12182" spans="5:8" x14ac:dyDescent="0.25">
      <c r="E12182" s="34"/>
      <c r="G12182" s="34"/>
      <c r="H12182" s="4"/>
    </row>
    <row r="12183" spans="5:8" x14ac:dyDescent="0.25">
      <c r="E12183" s="34"/>
      <c r="G12183" s="34"/>
      <c r="H12183" s="4"/>
    </row>
    <row r="12184" spans="5:8" x14ac:dyDescent="0.25">
      <c r="E12184" s="34"/>
      <c r="G12184" s="34"/>
      <c r="H12184" s="4"/>
    </row>
    <row r="12185" spans="5:8" x14ac:dyDescent="0.25">
      <c r="E12185" s="34"/>
      <c r="G12185" s="34"/>
      <c r="H12185" s="4"/>
    </row>
    <row r="12186" spans="5:8" x14ac:dyDescent="0.25">
      <c r="E12186" s="34"/>
      <c r="G12186" s="34"/>
      <c r="H12186" s="4"/>
    </row>
    <row r="12187" spans="5:8" x14ac:dyDescent="0.25">
      <c r="E12187" s="34"/>
      <c r="G12187" s="34"/>
      <c r="H12187" s="4"/>
    </row>
    <row r="12188" spans="5:8" x14ac:dyDescent="0.25">
      <c r="E12188" s="34"/>
      <c r="G12188" s="34"/>
      <c r="H12188" s="4"/>
    </row>
    <row r="12189" spans="5:8" x14ac:dyDescent="0.25">
      <c r="E12189" s="34"/>
      <c r="G12189" s="34"/>
      <c r="H12189" s="4"/>
    </row>
    <row r="12190" spans="5:8" x14ac:dyDescent="0.25">
      <c r="E12190" s="34"/>
      <c r="G12190" s="34"/>
      <c r="H12190" s="4"/>
    </row>
    <row r="12191" spans="5:8" x14ac:dyDescent="0.25">
      <c r="E12191" s="34"/>
      <c r="G12191" s="34"/>
      <c r="H12191" s="4"/>
    </row>
    <row r="12192" spans="5:8" x14ac:dyDescent="0.25">
      <c r="E12192" s="34"/>
      <c r="G12192" s="34"/>
      <c r="H12192" s="4"/>
    </row>
    <row r="12193" spans="5:8" x14ac:dyDescent="0.25">
      <c r="E12193" s="34"/>
      <c r="G12193" s="34"/>
      <c r="H12193" s="4"/>
    </row>
    <row r="12194" spans="5:8" x14ac:dyDescent="0.25">
      <c r="E12194" s="34"/>
      <c r="G12194" s="34"/>
      <c r="H12194" s="4"/>
    </row>
    <row r="12195" spans="5:8" x14ac:dyDescent="0.25">
      <c r="E12195" s="34"/>
      <c r="G12195" s="34"/>
      <c r="H12195" s="4"/>
    </row>
    <row r="12196" spans="5:8" x14ac:dyDescent="0.25">
      <c r="E12196" s="34"/>
      <c r="G12196" s="34"/>
      <c r="H12196" s="4"/>
    </row>
    <row r="12197" spans="5:8" x14ac:dyDescent="0.25">
      <c r="E12197" s="34"/>
      <c r="G12197" s="34"/>
      <c r="H12197" s="4"/>
    </row>
    <row r="12198" spans="5:8" x14ac:dyDescent="0.25">
      <c r="E12198" s="34"/>
      <c r="G12198" s="34"/>
      <c r="H12198" s="4"/>
    </row>
    <row r="12199" spans="5:8" x14ac:dyDescent="0.25">
      <c r="E12199" s="34"/>
      <c r="G12199" s="34"/>
      <c r="H12199" s="4"/>
    </row>
    <row r="12200" spans="5:8" x14ac:dyDescent="0.25">
      <c r="E12200" s="34"/>
      <c r="G12200" s="34"/>
      <c r="H12200" s="4"/>
    </row>
    <row r="12201" spans="5:8" x14ac:dyDescent="0.25">
      <c r="E12201" s="34"/>
      <c r="G12201" s="34"/>
      <c r="H12201" s="4"/>
    </row>
    <row r="12202" spans="5:8" x14ac:dyDescent="0.25">
      <c r="E12202" s="34"/>
      <c r="G12202" s="34"/>
      <c r="H12202" s="4"/>
    </row>
    <row r="12203" spans="5:8" x14ac:dyDescent="0.25">
      <c r="E12203" s="34"/>
      <c r="G12203" s="34"/>
      <c r="H12203" s="4"/>
    </row>
    <row r="12204" spans="5:8" x14ac:dyDescent="0.25">
      <c r="E12204" s="34"/>
      <c r="G12204" s="34"/>
      <c r="H12204" s="4"/>
    </row>
    <row r="12205" spans="5:8" x14ac:dyDescent="0.25">
      <c r="E12205" s="34"/>
      <c r="G12205" s="34"/>
      <c r="H12205" s="4"/>
    </row>
    <row r="12206" spans="5:8" x14ac:dyDescent="0.25">
      <c r="E12206" s="34"/>
      <c r="G12206" s="34"/>
      <c r="H12206" s="4"/>
    </row>
    <row r="12207" spans="5:8" x14ac:dyDescent="0.25">
      <c r="E12207" s="34"/>
      <c r="G12207" s="34"/>
      <c r="H12207" s="4"/>
    </row>
    <row r="12208" spans="5:8" x14ac:dyDescent="0.25">
      <c r="E12208" s="34"/>
      <c r="G12208" s="34"/>
      <c r="H12208" s="4"/>
    </row>
    <row r="12209" spans="5:8" x14ac:dyDescent="0.25">
      <c r="E12209" s="34"/>
      <c r="G12209" s="34"/>
      <c r="H12209" s="4"/>
    </row>
    <row r="12210" spans="5:8" x14ac:dyDescent="0.25">
      <c r="E12210" s="34"/>
      <c r="G12210" s="34"/>
      <c r="H12210" s="4"/>
    </row>
    <row r="12211" spans="5:8" x14ac:dyDescent="0.25">
      <c r="E12211" s="34"/>
      <c r="G12211" s="34"/>
      <c r="H12211" s="4"/>
    </row>
    <row r="12212" spans="5:8" x14ac:dyDescent="0.25">
      <c r="E12212" s="34"/>
      <c r="G12212" s="34"/>
      <c r="H12212" s="4"/>
    </row>
    <row r="12213" spans="5:8" x14ac:dyDescent="0.25">
      <c r="E12213" s="34"/>
      <c r="G12213" s="34"/>
      <c r="H12213" s="4"/>
    </row>
    <row r="12214" spans="5:8" x14ac:dyDescent="0.25">
      <c r="E12214" s="34"/>
      <c r="G12214" s="34"/>
      <c r="H12214" s="4"/>
    </row>
    <row r="12215" spans="5:8" x14ac:dyDescent="0.25">
      <c r="E12215" s="34"/>
      <c r="G12215" s="34"/>
      <c r="H12215" s="4"/>
    </row>
    <row r="12216" spans="5:8" x14ac:dyDescent="0.25">
      <c r="E12216" s="34"/>
      <c r="G12216" s="34"/>
      <c r="H12216" s="4"/>
    </row>
    <row r="12217" spans="5:8" x14ac:dyDescent="0.25">
      <c r="E12217" s="34"/>
      <c r="G12217" s="34"/>
      <c r="H12217" s="4"/>
    </row>
    <row r="12218" spans="5:8" x14ac:dyDescent="0.25">
      <c r="E12218" s="34"/>
      <c r="G12218" s="34"/>
      <c r="H12218" s="4"/>
    </row>
    <row r="12219" spans="5:8" x14ac:dyDescent="0.25">
      <c r="E12219" s="34"/>
      <c r="G12219" s="34"/>
      <c r="H12219" s="4"/>
    </row>
    <row r="12220" spans="5:8" x14ac:dyDescent="0.25">
      <c r="E12220" s="34"/>
      <c r="G12220" s="34"/>
      <c r="H12220" s="4"/>
    </row>
    <row r="12221" spans="5:8" x14ac:dyDescent="0.25">
      <c r="E12221" s="34"/>
      <c r="G12221" s="34"/>
      <c r="H12221" s="4"/>
    </row>
    <row r="12222" spans="5:8" x14ac:dyDescent="0.25">
      <c r="E12222" s="34"/>
      <c r="G12222" s="34"/>
      <c r="H12222" s="4"/>
    </row>
    <row r="12223" spans="5:8" x14ac:dyDescent="0.25">
      <c r="E12223" s="34"/>
      <c r="G12223" s="34"/>
      <c r="H12223" s="4"/>
    </row>
    <row r="12224" spans="5:8" x14ac:dyDescent="0.25">
      <c r="E12224" s="34"/>
      <c r="G12224" s="34"/>
      <c r="H12224" s="4"/>
    </row>
    <row r="12225" spans="5:8" x14ac:dyDescent="0.25">
      <c r="E12225" s="34"/>
      <c r="G12225" s="34"/>
      <c r="H12225" s="4"/>
    </row>
    <row r="12226" spans="5:8" x14ac:dyDescent="0.25">
      <c r="E12226" s="34"/>
      <c r="G12226" s="34"/>
      <c r="H12226" s="4"/>
    </row>
    <row r="12227" spans="5:8" x14ac:dyDescent="0.25">
      <c r="E12227" s="34"/>
      <c r="G12227" s="34"/>
      <c r="H12227" s="4"/>
    </row>
    <row r="12228" spans="5:8" x14ac:dyDescent="0.25">
      <c r="E12228" s="34"/>
      <c r="G12228" s="34"/>
      <c r="H12228" s="4"/>
    </row>
    <row r="12229" spans="5:8" x14ac:dyDescent="0.25">
      <c r="E12229" s="34"/>
      <c r="G12229" s="34"/>
      <c r="H12229" s="4"/>
    </row>
    <row r="12230" spans="5:8" x14ac:dyDescent="0.25">
      <c r="E12230" s="34"/>
      <c r="G12230" s="34"/>
      <c r="H12230" s="4"/>
    </row>
    <row r="12231" spans="5:8" x14ac:dyDescent="0.25">
      <c r="E12231" s="34"/>
      <c r="G12231" s="34"/>
      <c r="H12231" s="4"/>
    </row>
    <row r="12232" spans="5:8" x14ac:dyDescent="0.25">
      <c r="E12232" s="34"/>
      <c r="G12232" s="34"/>
      <c r="H12232" s="4"/>
    </row>
    <row r="12233" spans="5:8" x14ac:dyDescent="0.25">
      <c r="E12233" s="34"/>
      <c r="G12233" s="34"/>
      <c r="H12233" s="4"/>
    </row>
    <row r="12234" spans="5:8" x14ac:dyDescent="0.25">
      <c r="E12234" s="34"/>
      <c r="G12234" s="34"/>
      <c r="H12234" s="4"/>
    </row>
    <row r="12235" spans="5:8" x14ac:dyDescent="0.25">
      <c r="E12235" s="34"/>
      <c r="G12235" s="34"/>
      <c r="H12235" s="4"/>
    </row>
    <row r="12236" spans="5:8" x14ac:dyDescent="0.25">
      <c r="E12236" s="34"/>
      <c r="G12236" s="34"/>
      <c r="H12236" s="4"/>
    </row>
    <row r="12237" spans="5:8" x14ac:dyDescent="0.25">
      <c r="E12237" s="34"/>
      <c r="G12237" s="34"/>
      <c r="H12237" s="4"/>
    </row>
    <row r="12238" spans="5:8" x14ac:dyDescent="0.25">
      <c r="E12238" s="34"/>
      <c r="G12238" s="34"/>
      <c r="H12238" s="4"/>
    </row>
    <row r="12239" spans="5:8" x14ac:dyDescent="0.25">
      <c r="E12239" s="34"/>
      <c r="G12239" s="34"/>
      <c r="H12239" s="4"/>
    </row>
    <row r="12240" spans="5:8" x14ac:dyDescent="0.25">
      <c r="E12240" s="34"/>
      <c r="G12240" s="34"/>
      <c r="H12240" s="4"/>
    </row>
    <row r="12241" spans="5:8" x14ac:dyDescent="0.25">
      <c r="E12241" s="34"/>
      <c r="G12241" s="34"/>
      <c r="H12241" s="4"/>
    </row>
    <row r="12242" spans="5:8" x14ac:dyDescent="0.25">
      <c r="E12242" s="34"/>
      <c r="G12242" s="34"/>
      <c r="H12242" s="4"/>
    </row>
    <row r="12243" spans="5:8" x14ac:dyDescent="0.25">
      <c r="E12243" s="34"/>
      <c r="G12243" s="34"/>
      <c r="H12243" s="4"/>
    </row>
    <row r="12244" spans="5:8" x14ac:dyDescent="0.25">
      <c r="E12244" s="34"/>
      <c r="G12244" s="34"/>
      <c r="H12244" s="4"/>
    </row>
    <row r="12245" spans="5:8" x14ac:dyDescent="0.25">
      <c r="E12245" s="34"/>
      <c r="G12245" s="34"/>
      <c r="H12245" s="4"/>
    </row>
    <row r="12246" spans="5:8" x14ac:dyDescent="0.25">
      <c r="E12246" s="34"/>
      <c r="G12246" s="34"/>
      <c r="H12246" s="4"/>
    </row>
    <row r="12247" spans="5:8" x14ac:dyDescent="0.25">
      <c r="E12247" s="34"/>
      <c r="G12247" s="34"/>
      <c r="H12247" s="4"/>
    </row>
    <row r="12248" spans="5:8" x14ac:dyDescent="0.25">
      <c r="E12248" s="34"/>
      <c r="G12248" s="34"/>
      <c r="H12248" s="4"/>
    </row>
    <row r="12249" spans="5:8" x14ac:dyDescent="0.25">
      <c r="E12249" s="34"/>
      <c r="G12249" s="34"/>
      <c r="H12249" s="4"/>
    </row>
    <row r="12250" spans="5:8" x14ac:dyDescent="0.25">
      <c r="E12250" s="34"/>
      <c r="G12250" s="34"/>
      <c r="H12250" s="4"/>
    </row>
    <row r="12251" spans="5:8" x14ac:dyDescent="0.25">
      <c r="E12251" s="34"/>
      <c r="G12251" s="34"/>
      <c r="H12251" s="4"/>
    </row>
    <row r="12252" spans="5:8" x14ac:dyDescent="0.25">
      <c r="E12252" s="34"/>
      <c r="G12252" s="34"/>
      <c r="H12252" s="4"/>
    </row>
    <row r="12253" spans="5:8" x14ac:dyDescent="0.25">
      <c r="E12253" s="34"/>
      <c r="G12253" s="34"/>
      <c r="H12253" s="4"/>
    </row>
    <row r="12254" spans="5:8" x14ac:dyDescent="0.25">
      <c r="E12254" s="34"/>
      <c r="G12254" s="34"/>
      <c r="H12254" s="4"/>
    </row>
    <row r="12255" spans="5:8" x14ac:dyDescent="0.25">
      <c r="E12255" s="34"/>
      <c r="G12255" s="34"/>
      <c r="H12255" s="4"/>
    </row>
    <row r="12256" spans="5:8" x14ac:dyDescent="0.25">
      <c r="E12256" s="34"/>
      <c r="G12256" s="34"/>
      <c r="H12256" s="4"/>
    </row>
    <row r="12257" spans="5:8" x14ac:dyDescent="0.25">
      <c r="E12257" s="34"/>
      <c r="G12257" s="34"/>
      <c r="H12257" s="4"/>
    </row>
    <row r="12258" spans="5:8" x14ac:dyDescent="0.25">
      <c r="E12258" s="34"/>
      <c r="G12258" s="34"/>
      <c r="H12258" s="4"/>
    </row>
    <row r="12259" spans="5:8" x14ac:dyDescent="0.25">
      <c r="E12259" s="34"/>
      <c r="G12259" s="34"/>
      <c r="H12259" s="4"/>
    </row>
    <row r="12260" spans="5:8" x14ac:dyDescent="0.25">
      <c r="E12260" s="34"/>
      <c r="G12260" s="34"/>
      <c r="H12260" s="4"/>
    </row>
    <row r="12261" spans="5:8" x14ac:dyDescent="0.25">
      <c r="E12261" s="34"/>
      <c r="G12261" s="34"/>
      <c r="H12261" s="4"/>
    </row>
    <row r="12262" spans="5:8" x14ac:dyDescent="0.25">
      <c r="E12262" s="34"/>
      <c r="G12262" s="34"/>
      <c r="H12262" s="4"/>
    </row>
    <row r="12263" spans="5:8" x14ac:dyDescent="0.25">
      <c r="E12263" s="34"/>
      <c r="G12263" s="34"/>
      <c r="H12263" s="4"/>
    </row>
    <row r="12264" spans="5:8" x14ac:dyDescent="0.25">
      <c r="E12264" s="34"/>
      <c r="G12264" s="34"/>
      <c r="H12264" s="4"/>
    </row>
    <row r="12265" spans="5:8" x14ac:dyDescent="0.25">
      <c r="E12265" s="34"/>
      <c r="G12265" s="34"/>
      <c r="H12265" s="4"/>
    </row>
    <row r="12266" spans="5:8" x14ac:dyDescent="0.25">
      <c r="E12266" s="34"/>
      <c r="G12266" s="34"/>
      <c r="H12266" s="4"/>
    </row>
    <row r="12267" spans="5:8" x14ac:dyDescent="0.25">
      <c r="E12267" s="34"/>
      <c r="G12267" s="34"/>
      <c r="H12267" s="4"/>
    </row>
    <row r="12268" spans="5:8" x14ac:dyDescent="0.25">
      <c r="E12268" s="34"/>
      <c r="G12268" s="34"/>
      <c r="H12268" s="4"/>
    </row>
    <row r="12269" spans="5:8" x14ac:dyDescent="0.25">
      <c r="E12269" s="34"/>
      <c r="G12269" s="34"/>
      <c r="H12269" s="4"/>
    </row>
    <row r="12270" spans="5:8" x14ac:dyDescent="0.25">
      <c r="E12270" s="34"/>
      <c r="G12270" s="34"/>
      <c r="H12270" s="4"/>
    </row>
    <row r="12271" spans="5:8" x14ac:dyDescent="0.25">
      <c r="E12271" s="34"/>
      <c r="G12271" s="34"/>
      <c r="H12271" s="4"/>
    </row>
    <row r="12272" spans="5:8" x14ac:dyDescent="0.25">
      <c r="E12272" s="34"/>
      <c r="G12272" s="34"/>
      <c r="H12272" s="4"/>
    </row>
    <row r="12273" spans="5:8" x14ac:dyDescent="0.25">
      <c r="E12273" s="34"/>
      <c r="G12273" s="34"/>
      <c r="H12273" s="4"/>
    </row>
    <row r="12274" spans="5:8" x14ac:dyDescent="0.25">
      <c r="E12274" s="34"/>
      <c r="G12274" s="34"/>
      <c r="H12274" s="4"/>
    </row>
    <row r="12275" spans="5:8" x14ac:dyDescent="0.25">
      <c r="E12275" s="34"/>
      <c r="G12275" s="34"/>
      <c r="H12275" s="4"/>
    </row>
    <row r="12276" spans="5:8" x14ac:dyDescent="0.25">
      <c r="E12276" s="34"/>
      <c r="G12276" s="34"/>
      <c r="H12276" s="4"/>
    </row>
    <row r="12277" spans="5:8" x14ac:dyDescent="0.25">
      <c r="E12277" s="34"/>
      <c r="G12277" s="34"/>
      <c r="H12277" s="4"/>
    </row>
    <row r="12278" spans="5:8" x14ac:dyDescent="0.25">
      <c r="E12278" s="34"/>
      <c r="G12278" s="34"/>
      <c r="H12278" s="4"/>
    </row>
    <row r="12279" spans="5:8" x14ac:dyDescent="0.25">
      <c r="E12279" s="34"/>
      <c r="G12279" s="34"/>
      <c r="H12279" s="4"/>
    </row>
    <row r="12280" spans="5:8" x14ac:dyDescent="0.25">
      <c r="E12280" s="34"/>
      <c r="G12280" s="34"/>
      <c r="H12280" s="4"/>
    </row>
    <row r="12281" spans="5:8" x14ac:dyDescent="0.25">
      <c r="E12281" s="34"/>
      <c r="G12281" s="34"/>
      <c r="H12281" s="4"/>
    </row>
    <row r="12282" spans="5:8" x14ac:dyDescent="0.25">
      <c r="E12282" s="34"/>
      <c r="G12282" s="34"/>
      <c r="H12282" s="4"/>
    </row>
    <row r="12283" spans="5:8" x14ac:dyDescent="0.25">
      <c r="E12283" s="34"/>
      <c r="G12283" s="34"/>
      <c r="H12283" s="4"/>
    </row>
    <row r="12284" spans="5:8" x14ac:dyDescent="0.25">
      <c r="E12284" s="34"/>
      <c r="G12284" s="34"/>
      <c r="H12284" s="4"/>
    </row>
    <row r="12285" spans="5:8" x14ac:dyDescent="0.25">
      <c r="E12285" s="34"/>
      <c r="G12285" s="34"/>
      <c r="H12285" s="4"/>
    </row>
    <row r="12286" spans="5:8" x14ac:dyDescent="0.25">
      <c r="E12286" s="34"/>
      <c r="G12286" s="34"/>
      <c r="H12286" s="4"/>
    </row>
    <row r="12287" spans="5:8" x14ac:dyDescent="0.25">
      <c r="E12287" s="34"/>
      <c r="G12287" s="34"/>
      <c r="H12287" s="4"/>
    </row>
    <row r="12288" spans="5:8" x14ac:dyDescent="0.25">
      <c r="E12288" s="34"/>
      <c r="G12288" s="34"/>
      <c r="H12288" s="4"/>
    </row>
    <row r="12289" spans="5:8" x14ac:dyDescent="0.25">
      <c r="E12289" s="34"/>
      <c r="G12289" s="34"/>
      <c r="H12289" s="4"/>
    </row>
    <row r="12290" spans="5:8" x14ac:dyDescent="0.25">
      <c r="E12290" s="34"/>
      <c r="G12290" s="34"/>
      <c r="H12290" s="4"/>
    </row>
    <row r="12291" spans="5:8" x14ac:dyDescent="0.25">
      <c r="E12291" s="34"/>
      <c r="G12291" s="34"/>
      <c r="H12291" s="4"/>
    </row>
    <row r="12292" spans="5:8" x14ac:dyDescent="0.25">
      <c r="E12292" s="34"/>
      <c r="G12292" s="34"/>
      <c r="H12292" s="4"/>
    </row>
    <row r="12293" spans="5:8" x14ac:dyDescent="0.25">
      <c r="E12293" s="34"/>
      <c r="G12293" s="34"/>
      <c r="H12293" s="4"/>
    </row>
    <row r="12294" spans="5:8" x14ac:dyDescent="0.25">
      <c r="E12294" s="34"/>
      <c r="G12294" s="34"/>
      <c r="H12294" s="4"/>
    </row>
    <row r="12295" spans="5:8" x14ac:dyDescent="0.25">
      <c r="E12295" s="34"/>
      <c r="G12295" s="34"/>
      <c r="H12295" s="4"/>
    </row>
    <row r="12296" spans="5:8" x14ac:dyDescent="0.25">
      <c r="E12296" s="34"/>
      <c r="G12296" s="34"/>
      <c r="H12296" s="4"/>
    </row>
    <row r="12297" spans="5:8" x14ac:dyDescent="0.25">
      <c r="E12297" s="34"/>
      <c r="G12297" s="34"/>
      <c r="H12297" s="4"/>
    </row>
    <row r="12298" spans="5:8" x14ac:dyDescent="0.25">
      <c r="E12298" s="34"/>
      <c r="G12298" s="34"/>
      <c r="H12298" s="4"/>
    </row>
    <row r="12299" spans="5:8" x14ac:dyDescent="0.25">
      <c r="E12299" s="34"/>
      <c r="G12299" s="34"/>
      <c r="H12299" s="4"/>
    </row>
    <row r="12300" spans="5:8" x14ac:dyDescent="0.25">
      <c r="E12300" s="34"/>
      <c r="G12300" s="34"/>
      <c r="H12300" s="4"/>
    </row>
    <row r="12301" spans="5:8" x14ac:dyDescent="0.25">
      <c r="E12301" s="34"/>
      <c r="G12301" s="34"/>
      <c r="H12301" s="4"/>
    </row>
    <row r="12302" spans="5:8" x14ac:dyDescent="0.25">
      <c r="E12302" s="34"/>
      <c r="G12302" s="34"/>
      <c r="H12302" s="4"/>
    </row>
    <row r="12303" spans="5:8" x14ac:dyDescent="0.25">
      <c r="E12303" s="34"/>
      <c r="G12303" s="34"/>
      <c r="H12303" s="4"/>
    </row>
    <row r="12304" spans="5:8" x14ac:dyDescent="0.25">
      <c r="E12304" s="34"/>
      <c r="G12304" s="34"/>
      <c r="H12304" s="4"/>
    </row>
    <row r="12305" spans="5:8" x14ac:dyDescent="0.25">
      <c r="E12305" s="34"/>
      <c r="G12305" s="34"/>
      <c r="H12305" s="4"/>
    </row>
    <row r="12306" spans="5:8" x14ac:dyDescent="0.25">
      <c r="E12306" s="34"/>
      <c r="G12306" s="34"/>
      <c r="H12306" s="4"/>
    </row>
    <row r="12307" spans="5:8" x14ac:dyDescent="0.25">
      <c r="E12307" s="34"/>
      <c r="G12307" s="34"/>
      <c r="H12307" s="4"/>
    </row>
    <row r="12308" spans="5:8" x14ac:dyDescent="0.25">
      <c r="E12308" s="34"/>
      <c r="G12308" s="34"/>
      <c r="H12308" s="4"/>
    </row>
    <row r="12309" spans="5:8" x14ac:dyDescent="0.25">
      <c r="E12309" s="34"/>
      <c r="G12309" s="34"/>
      <c r="H12309" s="4"/>
    </row>
    <row r="12310" spans="5:8" x14ac:dyDescent="0.25">
      <c r="E12310" s="34"/>
      <c r="G12310" s="34"/>
      <c r="H12310" s="4"/>
    </row>
    <row r="12311" spans="5:8" x14ac:dyDescent="0.25">
      <c r="E12311" s="34"/>
      <c r="G12311" s="34"/>
      <c r="H12311" s="4"/>
    </row>
    <row r="12312" spans="5:8" x14ac:dyDescent="0.25">
      <c r="E12312" s="34"/>
      <c r="G12312" s="34"/>
      <c r="H12312" s="4"/>
    </row>
    <row r="12313" spans="5:8" x14ac:dyDescent="0.25">
      <c r="E12313" s="34"/>
      <c r="G12313" s="34"/>
      <c r="H12313" s="4"/>
    </row>
    <row r="12314" spans="5:8" x14ac:dyDescent="0.25">
      <c r="E12314" s="34"/>
      <c r="G12314" s="34"/>
      <c r="H12314" s="4"/>
    </row>
    <row r="12315" spans="5:8" x14ac:dyDescent="0.25">
      <c r="E12315" s="34"/>
      <c r="G12315" s="34"/>
      <c r="H12315" s="4"/>
    </row>
    <row r="12316" spans="5:8" x14ac:dyDescent="0.25">
      <c r="E12316" s="34"/>
      <c r="G12316" s="34"/>
      <c r="H12316" s="4"/>
    </row>
    <row r="12317" spans="5:8" x14ac:dyDescent="0.25">
      <c r="E12317" s="34"/>
      <c r="G12317" s="34"/>
      <c r="H12317" s="4"/>
    </row>
    <row r="12318" spans="5:8" x14ac:dyDescent="0.25">
      <c r="E12318" s="34"/>
      <c r="G12318" s="34"/>
      <c r="H12318" s="4"/>
    </row>
    <row r="12319" spans="5:8" x14ac:dyDescent="0.25">
      <c r="E12319" s="34"/>
      <c r="G12319" s="34"/>
      <c r="H12319" s="4"/>
    </row>
    <row r="12320" spans="5:8" x14ac:dyDescent="0.25">
      <c r="E12320" s="34"/>
      <c r="G12320" s="34"/>
      <c r="H12320" s="4"/>
    </row>
    <row r="12321" spans="5:8" x14ac:dyDescent="0.25">
      <c r="E12321" s="34"/>
      <c r="G12321" s="34"/>
      <c r="H12321" s="4"/>
    </row>
    <row r="12322" spans="5:8" x14ac:dyDescent="0.25">
      <c r="E12322" s="34"/>
      <c r="G12322" s="34"/>
      <c r="H12322" s="4"/>
    </row>
    <row r="12323" spans="5:8" x14ac:dyDescent="0.25">
      <c r="E12323" s="34"/>
      <c r="G12323" s="34"/>
      <c r="H12323" s="4"/>
    </row>
    <row r="12324" spans="5:8" x14ac:dyDescent="0.25">
      <c r="E12324" s="34"/>
      <c r="G12324" s="34"/>
      <c r="H12324" s="4"/>
    </row>
    <row r="12325" spans="5:8" x14ac:dyDescent="0.25">
      <c r="E12325" s="34"/>
      <c r="G12325" s="34"/>
      <c r="H12325" s="4"/>
    </row>
    <row r="12326" spans="5:8" x14ac:dyDescent="0.25">
      <c r="E12326" s="34"/>
      <c r="G12326" s="34"/>
      <c r="H12326" s="4"/>
    </row>
    <row r="12327" spans="5:8" x14ac:dyDescent="0.25">
      <c r="E12327" s="34"/>
      <c r="G12327" s="34"/>
      <c r="H12327" s="4"/>
    </row>
    <row r="12328" spans="5:8" x14ac:dyDescent="0.25">
      <c r="E12328" s="34"/>
      <c r="G12328" s="34"/>
      <c r="H12328" s="4"/>
    </row>
    <row r="12329" spans="5:8" x14ac:dyDescent="0.25">
      <c r="E12329" s="34"/>
      <c r="G12329" s="34"/>
      <c r="H12329" s="4"/>
    </row>
    <row r="12330" spans="5:8" x14ac:dyDescent="0.25">
      <c r="E12330" s="34"/>
      <c r="G12330" s="34"/>
      <c r="H12330" s="4"/>
    </row>
    <row r="12331" spans="5:8" x14ac:dyDescent="0.25">
      <c r="E12331" s="34"/>
      <c r="G12331" s="34"/>
      <c r="H12331" s="4"/>
    </row>
    <row r="12332" spans="5:8" x14ac:dyDescent="0.25">
      <c r="E12332" s="34"/>
      <c r="G12332" s="34"/>
      <c r="H12332" s="4"/>
    </row>
    <row r="12333" spans="5:8" x14ac:dyDescent="0.25">
      <c r="E12333" s="34"/>
      <c r="G12333" s="34"/>
      <c r="H12333" s="4"/>
    </row>
    <row r="12334" spans="5:8" x14ac:dyDescent="0.25">
      <c r="E12334" s="34"/>
      <c r="G12334" s="34"/>
      <c r="H12334" s="4"/>
    </row>
    <row r="12335" spans="5:8" x14ac:dyDescent="0.25">
      <c r="E12335" s="34"/>
      <c r="G12335" s="34"/>
      <c r="H12335" s="4"/>
    </row>
    <row r="12336" spans="5:8" x14ac:dyDescent="0.25">
      <c r="E12336" s="34"/>
      <c r="G12336" s="34"/>
      <c r="H12336" s="4"/>
    </row>
    <row r="12337" spans="5:8" x14ac:dyDescent="0.25">
      <c r="E12337" s="34"/>
      <c r="G12337" s="34"/>
      <c r="H12337" s="4"/>
    </row>
    <row r="12338" spans="5:8" x14ac:dyDescent="0.25">
      <c r="E12338" s="34"/>
      <c r="G12338" s="34"/>
      <c r="H12338" s="4"/>
    </row>
    <row r="12339" spans="5:8" x14ac:dyDescent="0.25">
      <c r="E12339" s="34"/>
      <c r="G12339" s="34"/>
      <c r="H12339" s="4"/>
    </row>
    <row r="12340" spans="5:8" x14ac:dyDescent="0.25">
      <c r="E12340" s="34"/>
      <c r="G12340" s="34"/>
      <c r="H12340" s="4"/>
    </row>
    <row r="12341" spans="5:8" x14ac:dyDescent="0.25">
      <c r="E12341" s="34"/>
      <c r="G12341" s="34"/>
      <c r="H12341" s="4"/>
    </row>
    <row r="12342" spans="5:8" x14ac:dyDescent="0.25">
      <c r="E12342" s="34"/>
      <c r="G12342" s="34"/>
      <c r="H12342" s="4"/>
    </row>
    <row r="12343" spans="5:8" x14ac:dyDescent="0.25">
      <c r="E12343" s="34"/>
      <c r="G12343" s="34"/>
      <c r="H12343" s="4"/>
    </row>
    <row r="12344" spans="5:8" x14ac:dyDescent="0.25">
      <c r="E12344" s="34"/>
      <c r="G12344" s="34"/>
      <c r="H12344" s="4"/>
    </row>
    <row r="12345" spans="5:8" x14ac:dyDescent="0.25">
      <c r="E12345" s="34"/>
      <c r="G12345" s="34"/>
      <c r="H12345" s="4"/>
    </row>
    <row r="12346" spans="5:8" x14ac:dyDescent="0.25">
      <c r="E12346" s="34"/>
      <c r="G12346" s="34"/>
      <c r="H12346" s="4"/>
    </row>
    <row r="12347" spans="5:8" x14ac:dyDescent="0.25">
      <c r="E12347" s="34"/>
      <c r="G12347" s="34"/>
      <c r="H12347" s="4"/>
    </row>
    <row r="12348" spans="5:8" x14ac:dyDescent="0.25">
      <c r="E12348" s="34"/>
      <c r="G12348" s="34"/>
      <c r="H12348" s="4"/>
    </row>
    <row r="12349" spans="5:8" x14ac:dyDescent="0.25">
      <c r="E12349" s="34"/>
      <c r="G12349" s="34"/>
      <c r="H12349" s="4"/>
    </row>
    <row r="12350" spans="5:8" x14ac:dyDescent="0.25">
      <c r="E12350" s="34"/>
      <c r="G12350" s="34"/>
      <c r="H12350" s="4"/>
    </row>
    <row r="12351" spans="5:8" x14ac:dyDescent="0.25">
      <c r="E12351" s="34"/>
      <c r="G12351" s="34"/>
      <c r="H12351" s="4"/>
    </row>
    <row r="12352" spans="5:8" x14ac:dyDescent="0.25">
      <c r="E12352" s="34"/>
      <c r="G12352" s="34"/>
      <c r="H12352" s="4"/>
    </row>
    <row r="12353" spans="5:8" x14ac:dyDescent="0.25">
      <c r="E12353" s="34"/>
      <c r="G12353" s="34"/>
      <c r="H12353" s="4"/>
    </row>
    <row r="12354" spans="5:8" x14ac:dyDescent="0.25">
      <c r="E12354" s="34"/>
      <c r="G12354" s="34"/>
      <c r="H12354" s="4"/>
    </row>
    <row r="12355" spans="5:8" x14ac:dyDescent="0.25">
      <c r="E12355" s="34"/>
      <c r="G12355" s="34"/>
      <c r="H12355" s="4"/>
    </row>
    <row r="12356" spans="5:8" x14ac:dyDescent="0.25">
      <c r="E12356" s="34"/>
      <c r="G12356" s="34"/>
      <c r="H12356" s="4"/>
    </row>
    <row r="12357" spans="5:8" x14ac:dyDescent="0.25">
      <c r="E12357" s="34"/>
      <c r="G12357" s="34"/>
      <c r="H12357" s="4"/>
    </row>
    <row r="12358" spans="5:8" x14ac:dyDescent="0.25">
      <c r="E12358" s="34"/>
      <c r="G12358" s="34"/>
      <c r="H12358" s="4"/>
    </row>
    <row r="12359" spans="5:8" x14ac:dyDescent="0.25">
      <c r="E12359" s="34"/>
      <c r="G12359" s="34"/>
      <c r="H12359" s="4"/>
    </row>
    <row r="12360" spans="5:8" x14ac:dyDescent="0.25">
      <c r="E12360" s="34"/>
      <c r="G12360" s="34"/>
      <c r="H12360" s="4"/>
    </row>
    <row r="12361" spans="5:8" x14ac:dyDescent="0.25">
      <c r="E12361" s="34"/>
      <c r="G12361" s="34"/>
      <c r="H12361" s="4"/>
    </row>
    <row r="12362" spans="5:8" x14ac:dyDescent="0.25">
      <c r="E12362" s="34"/>
      <c r="G12362" s="34"/>
      <c r="H12362" s="4"/>
    </row>
    <row r="12363" spans="5:8" x14ac:dyDescent="0.25">
      <c r="E12363" s="34"/>
      <c r="G12363" s="34"/>
      <c r="H12363" s="4"/>
    </row>
    <row r="12364" spans="5:8" x14ac:dyDescent="0.25">
      <c r="E12364" s="34"/>
      <c r="G12364" s="34"/>
      <c r="H12364" s="4"/>
    </row>
    <row r="12365" spans="5:8" x14ac:dyDescent="0.25">
      <c r="E12365" s="34"/>
      <c r="G12365" s="34"/>
      <c r="H12365" s="4"/>
    </row>
    <row r="12366" spans="5:8" x14ac:dyDescent="0.25">
      <c r="E12366" s="34"/>
      <c r="G12366" s="34"/>
      <c r="H12366" s="4"/>
    </row>
    <row r="12367" spans="5:8" x14ac:dyDescent="0.25">
      <c r="E12367" s="34"/>
      <c r="G12367" s="34"/>
      <c r="H12367" s="4"/>
    </row>
    <row r="12368" spans="5:8" x14ac:dyDescent="0.25">
      <c r="E12368" s="34"/>
      <c r="G12368" s="34"/>
      <c r="H12368" s="4"/>
    </row>
    <row r="12369" spans="5:8" x14ac:dyDescent="0.25">
      <c r="E12369" s="34"/>
      <c r="G12369" s="34"/>
      <c r="H12369" s="4"/>
    </row>
    <row r="12370" spans="5:8" x14ac:dyDescent="0.25">
      <c r="E12370" s="34"/>
      <c r="G12370" s="34"/>
      <c r="H12370" s="4"/>
    </row>
    <row r="12371" spans="5:8" x14ac:dyDescent="0.25">
      <c r="E12371" s="34"/>
      <c r="G12371" s="34"/>
      <c r="H12371" s="4"/>
    </row>
    <row r="12372" spans="5:8" x14ac:dyDescent="0.25">
      <c r="E12372" s="34"/>
      <c r="G12372" s="34"/>
      <c r="H12372" s="4"/>
    </row>
    <row r="12373" spans="5:8" x14ac:dyDescent="0.25">
      <c r="E12373" s="34"/>
      <c r="G12373" s="34"/>
      <c r="H12373" s="4"/>
    </row>
    <row r="12374" spans="5:8" x14ac:dyDescent="0.25">
      <c r="E12374" s="34"/>
      <c r="G12374" s="34"/>
      <c r="H12374" s="4"/>
    </row>
    <row r="12375" spans="5:8" x14ac:dyDescent="0.25">
      <c r="E12375" s="34"/>
      <c r="G12375" s="34"/>
      <c r="H12375" s="4"/>
    </row>
    <row r="12376" spans="5:8" x14ac:dyDescent="0.25">
      <c r="E12376" s="34"/>
      <c r="G12376" s="34"/>
      <c r="H12376" s="4"/>
    </row>
    <row r="12377" spans="5:8" x14ac:dyDescent="0.25">
      <c r="E12377" s="34"/>
      <c r="G12377" s="34"/>
      <c r="H12377" s="4"/>
    </row>
    <row r="12378" spans="5:8" x14ac:dyDescent="0.25">
      <c r="E12378" s="34"/>
      <c r="G12378" s="34"/>
      <c r="H12378" s="4"/>
    </row>
    <row r="12379" spans="5:8" x14ac:dyDescent="0.25">
      <c r="E12379" s="34"/>
      <c r="G12379" s="34"/>
      <c r="H12379" s="4"/>
    </row>
    <row r="12380" spans="5:8" x14ac:dyDescent="0.25">
      <c r="E12380" s="34"/>
      <c r="G12380" s="34"/>
      <c r="H12380" s="4"/>
    </row>
    <row r="12381" spans="5:8" x14ac:dyDescent="0.25">
      <c r="E12381" s="34"/>
      <c r="G12381" s="34"/>
      <c r="H12381" s="4"/>
    </row>
    <row r="12382" spans="5:8" x14ac:dyDescent="0.25">
      <c r="E12382" s="34"/>
      <c r="G12382" s="34"/>
      <c r="H12382" s="4"/>
    </row>
    <row r="12383" spans="5:8" x14ac:dyDescent="0.25">
      <c r="E12383" s="34"/>
      <c r="G12383" s="34"/>
      <c r="H12383" s="4"/>
    </row>
    <row r="12384" spans="5:8" x14ac:dyDescent="0.25">
      <c r="E12384" s="34"/>
      <c r="G12384" s="34"/>
      <c r="H12384" s="4"/>
    </row>
    <row r="12385" spans="5:8" x14ac:dyDescent="0.25">
      <c r="E12385" s="34"/>
      <c r="G12385" s="34"/>
      <c r="H12385" s="4"/>
    </row>
    <row r="12386" spans="5:8" x14ac:dyDescent="0.25">
      <c r="E12386" s="34"/>
      <c r="G12386" s="34"/>
      <c r="H12386" s="4"/>
    </row>
    <row r="12387" spans="5:8" x14ac:dyDescent="0.25">
      <c r="E12387" s="34"/>
      <c r="G12387" s="34"/>
      <c r="H12387" s="4"/>
    </row>
    <row r="12388" spans="5:8" x14ac:dyDescent="0.25">
      <c r="E12388" s="34"/>
      <c r="G12388" s="34"/>
      <c r="H12388" s="4"/>
    </row>
    <row r="12389" spans="5:8" x14ac:dyDescent="0.25">
      <c r="E12389" s="34"/>
      <c r="G12389" s="34"/>
      <c r="H12389" s="4"/>
    </row>
    <row r="12390" spans="5:8" x14ac:dyDescent="0.25">
      <c r="E12390" s="34"/>
      <c r="G12390" s="34"/>
      <c r="H12390" s="4"/>
    </row>
    <row r="12391" spans="5:8" x14ac:dyDescent="0.25">
      <c r="E12391" s="34"/>
      <c r="G12391" s="34"/>
      <c r="H12391" s="4"/>
    </row>
    <row r="12392" spans="5:8" x14ac:dyDescent="0.25">
      <c r="E12392" s="34"/>
      <c r="G12392" s="34"/>
      <c r="H12392" s="4"/>
    </row>
    <row r="12393" spans="5:8" x14ac:dyDescent="0.25">
      <c r="E12393" s="34"/>
      <c r="G12393" s="34"/>
      <c r="H12393" s="4"/>
    </row>
    <row r="12394" spans="5:8" x14ac:dyDescent="0.25">
      <c r="E12394" s="34"/>
      <c r="G12394" s="34"/>
      <c r="H12394" s="4"/>
    </row>
    <row r="12395" spans="5:8" x14ac:dyDescent="0.25">
      <c r="E12395" s="34"/>
      <c r="G12395" s="34"/>
      <c r="H12395" s="4"/>
    </row>
    <row r="12396" spans="5:8" x14ac:dyDescent="0.25">
      <c r="E12396" s="34"/>
      <c r="G12396" s="34"/>
      <c r="H12396" s="4"/>
    </row>
    <row r="12397" spans="5:8" x14ac:dyDescent="0.25">
      <c r="E12397" s="34"/>
      <c r="G12397" s="34"/>
      <c r="H12397" s="4"/>
    </row>
    <row r="12398" spans="5:8" x14ac:dyDescent="0.25">
      <c r="E12398" s="34"/>
      <c r="G12398" s="34"/>
      <c r="H12398" s="4"/>
    </row>
    <row r="12399" spans="5:8" x14ac:dyDescent="0.25">
      <c r="E12399" s="34"/>
      <c r="G12399" s="34"/>
      <c r="H12399" s="4"/>
    </row>
    <row r="12400" spans="5:8" x14ac:dyDescent="0.25">
      <c r="E12400" s="34"/>
      <c r="G12400" s="34"/>
      <c r="H12400" s="4"/>
    </row>
    <row r="12401" spans="5:8" x14ac:dyDescent="0.25">
      <c r="E12401" s="34"/>
      <c r="G12401" s="34"/>
      <c r="H12401" s="4"/>
    </row>
    <row r="12402" spans="5:8" x14ac:dyDescent="0.25">
      <c r="E12402" s="34"/>
      <c r="G12402" s="34"/>
      <c r="H12402" s="4"/>
    </row>
    <row r="12403" spans="5:8" x14ac:dyDescent="0.25">
      <c r="E12403" s="34"/>
      <c r="G12403" s="34"/>
      <c r="H12403" s="4"/>
    </row>
    <row r="12404" spans="5:8" x14ac:dyDescent="0.25">
      <c r="E12404" s="34"/>
      <c r="G12404" s="34"/>
      <c r="H12404" s="4"/>
    </row>
    <row r="12405" spans="5:8" x14ac:dyDescent="0.25">
      <c r="E12405" s="34"/>
      <c r="G12405" s="34"/>
      <c r="H12405" s="4"/>
    </row>
    <row r="12406" spans="5:8" x14ac:dyDescent="0.25">
      <c r="E12406" s="34"/>
      <c r="G12406" s="34"/>
      <c r="H12406" s="4"/>
    </row>
    <row r="12407" spans="5:8" x14ac:dyDescent="0.25">
      <c r="E12407" s="34"/>
      <c r="G12407" s="34"/>
      <c r="H12407" s="4"/>
    </row>
    <row r="12408" spans="5:8" x14ac:dyDescent="0.25">
      <c r="E12408" s="34"/>
      <c r="G12408" s="34"/>
      <c r="H12408" s="4"/>
    </row>
    <row r="12409" spans="5:8" x14ac:dyDescent="0.25">
      <c r="E12409" s="34"/>
      <c r="G12409" s="34"/>
      <c r="H12409" s="4"/>
    </row>
    <row r="12410" spans="5:8" x14ac:dyDescent="0.25">
      <c r="E12410" s="34"/>
      <c r="G12410" s="34"/>
      <c r="H12410" s="4"/>
    </row>
    <row r="12411" spans="5:8" x14ac:dyDescent="0.25">
      <c r="E12411" s="34"/>
      <c r="G12411" s="34"/>
      <c r="H12411" s="4"/>
    </row>
    <row r="12412" spans="5:8" x14ac:dyDescent="0.25">
      <c r="E12412" s="34"/>
      <c r="G12412" s="34"/>
      <c r="H12412" s="4"/>
    </row>
    <row r="12413" spans="5:8" x14ac:dyDescent="0.25">
      <c r="E12413" s="34"/>
      <c r="G12413" s="34"/>
      <c r="H12413" s="4"/>
    </row>
    <row r="12414" spans="5:8" x14ac:dyDescent="0.25">
      <c r="E12414" s="34"/>
      <c r="G12414" s="34"/>
      <c r="H12414" s="4"/>
    </row>
    <row r="12415" spans="5:8" x14ac:dyDescent="0.25">
      <c r="E12415" s="34"/>
      <c r="G12415" s="34"/>
      <c r="H12415" s="4"/>
    </row>
    <row r="12416" spans="5:8" x14ac:dyDescent="0.25">
      <c r="E12416" s="34"/>
      <c r="G12416" s="34"/>
      <c r="H12416" s="4"/>
    </row>
    <row r="12417" spans="5:8" x14ac:dyDescent="0.25">
      <c r="E12417" s="34"/>
      <c r="G12417" s="34"/>
      <c r="H12417" s="4"/>
    </row>
    <row r="12418" spans="5:8" x14ac:dyDescent="0.25">
      <c r="E12418" s="34"/>
      <c r="G12418" s="34"/>
      <c r="H12418" s="4"/>
    </row>
    <row r="12419" spans="5:8" x14ac:dyDescent="0.25">
      <c r="E12419" s="34"/>
      <c r="G12419" s="34"/>
      <c r="H12419" s="4"/>
    </row>
    <row r="12420" spans="5:8" x14ac:dyDescent="0.25">
      <c r="E12420" s="34"/>
      <c r="G12420" s="34"/>
      <c r="H12420" s="4"/>
    </row>
    <row r="12421" spans="5:8" x14ac:dyDescent="0.25">
      <c r="E12421" s="34"/>
      <c r="G12421" s="34"/>
      <c r="H12421" s="4"/>
    </row>
    <row r="12422" spans="5:8" x14ac:dyDescent="0.25">
      <c r="E12422" s="34"/>
      <c r="G12422" s="34"/>
      <c r="H12422" s="4"/>
    </row>
    <row r="12423" spans="5:8" x14ac:dyDescent="0.25">
      <c r="E12423" s="34"/>
      <c r="G12423" s="34"/>
      <c r="H12423" s="4"/>
    </row>
    <row r="12424" spans="5:8" x14ac:dyDescent="0.25">
      <c r="E12424" s="34"/>
      <c r="G12424" s="34"/>
      <c r="H12424" s="4"/>
    </row>
    <row r="12425" spans="5:8" x14ac:dyDescent="0.25">
      <c r="E12425" s="34"/>
      <c r="G12425" s="34"/>
      <c r="H12425" s="4"/>
    </row>
    <row r="12426" spans="5:8" x14ac:dyDescent="0.25">
      <c r="E12426" s="34"/>
      <c r="G12426" s="34"/>
      <c r="H12426" s="4"/>
    </row>
    <row r="12427" spans="5:8" x14ac:dyDescent="0.25">
      <c r="E12427" s="34"/>
      <c r="G12427" s="34"/>
      <c r="H12427" s="4"/>
    </row>
    <row r="12428" spans="5:8" x14ac:dyDescent="0.25">
      <c r="E12428" s="34"/>
      <c r="G12428" s="34"/>
      <c r="H12428" s="4"/>
    </row>
    <row r="12429" spans="5:8" x14ac:dyDescent="0.25">
      <c r="E12429" s="34"/>
      <c r="G12429" s="34"/>
      <c r="H12429" s="4"/>
    </row>
    <row r="12430" spans="5:8" x14ac:dyDescent="0.25">
      <c r="E12430" s="34"/>
      <c r="G12430" s="34"/>
      <c r="H12430" s="4"/>
    </row>
    <row r="12431" spans="5:8" x14ac:dyDescent="0.25">
      <c r="E12431" s="34"/>
      <c r="G12431" s="34"/>
      <c r="H12431" s="4"/>
    </row>
    <row r="12432" spans="5:8" x14ac:dyDescent="0.25">
      <c r="E12432" s="34"/>
      <c r="G12432" s="34"/>
      <c r="H12432" s="4"/>
    </row>
    <row r="12433" spans="5:8" x14ac:dyDescent="0.25">
      <c r="E12433" s="34"/>
      <c r="G12433" s="34"/>
      <c r="H12433" s="4"/>
    </row>
    <row r="12434" spans="5:8" x14ac:dyDescent="0.25">
      <c r="E12434" s="34"/>
      <c r="G12434" s="34"/>
      <c r="H12434" s="4"/>
    </row>
    <row r="12435" spans="5:8" x14ac:dyDescent="0.25">
      <c r="E12435" s="34"/>
      <c r="G12435" s="34"/>
      <c r="H12435" s="4"/>
    </row>
    <row r="12436" spans="5:8" x14ac:dyDescent="0.25">
      <c r="E12436" s="34"/>
      <c r="G12436" s="34"/>
      <c r="H12436" s="4"/>
    </row>
    <row r="12437" spans="5:8" x14ac:dyDescent="0.25">
      <c r="E12437" s="34"/>
      <c r="G12437" s="34"/>
      <c r="H12437" s="4"/>
    </row>
    <row r="12438" spans="5:8" x14ac:dyDescent="0.25">
      <c r="E12438" s="34"/>
      <c r="G12438" s="34"/>
      <c r="H12438" s="4"/>
    </row>
    <row r="12439" spans="5:8" x14ac:dyDescent="0.25">
      <c r="E12439" s="34"/>
      <c r="G12439" s="34"/>
      <c r="H12439" s="4"/>
    </row>
    <row r="12440" spans="5:8" x14ac:dyDescent="0.25">
      <c r="E12440" s="34"/>
      <c r="G12440" s="34"/>
      <c r="H12440" s="4"/>
    </row>
    <row r="12441" spans="5:8" x14ac:dyDescent="0.25">
      <c r="E12441" s="34"/>
      <c r="G12441" s="34"/>
      <c r="H12441" s="4"/>
    </row>
    <row r="12442" spans="5:8" x14ac:dyDescent="0.25">
      <c r="E12442" s="34"/>
      <c r="G12442" s="34"/>
      <c r="H12442" s="4"/>
    </row>
    <row r="12443" spans="5:8" x14ac:dyDescent="0.25">
      <c r="E12443" s="34"/>
      <c r="G12443" s="34"/>
      <c r="H12443" s="4"/>
    </row>
    <row r="12444" spans="5:8" x14ac:dyDescent="0.25">
      <c r="E12444" s="34"/>
      <c r="G12444" s="34"/>
      <c r="H12444" s="4"/>
    </row>
    <row r="12445" spans="5:8" x14ac:dyDescent="0.25">
      <c r="E12445" s="34"/>
      <c r="G12445" s="34"/>
      <c r="H12445" s="4"/>
    </row>
    <row r="12446" spans="5:8" x14ac:dyDescent="0.25">
      <c r="E12446" s="34"/>
      <c r="G12446" s="34"/>
      <c r="H12446" s="4"/>
    </row>
    <row r="12447" spans="5:8" x14ac:dyDescent="0.25">
      <c r="E12447" s="34"/>
      <c r="G12447" s="34"/>
      <c r="H12447" s="4"/>
    </row>
    <row r="12448" spans="5:8" x14ac:dyDescent="0.25">
      <c r="E12448" s="34"/>
      <c r="G12448" s="34"/>
      <c r="H12448" s="4"/>
    </row>
    <row r="12449" spans="5:8" x14ac:dyDescent="0.25">
      <c r="E12449" s="34"/>
      <c r="G12449" s="34"/>
      <c r="H12449" s="4"/>
    </row>
    <row r="12450" spans="5:8" x14ac:dyDescent="0.25">
      <c r="E12450" s="34"/>
      <c r="G12450" s="34"/>
      <c r="H12450" s="4"/>
    </row>
    <row r="12451" spans="5:8" x14ac:dyDescent="0.25">
      <c r="E12451" s="34"/>
      <c r="G12451" s="34"/>
      <c r="H12451" s="4"/>
    </row>
    <row r="12452" spans="5:8" x14ac:dyDescent="0.25">
      <c r="E12452" s="34"/>
      <c r="G12452" s="34"/>
      <c r="H12452" s="4"/>
    </row>
    <row r="12453" spans="5:8" x14ac:dyDescent="0.25">
      <c r="E12453" s="34"/>
      <c r="G12453" s="34"/>
      <c r="H12453" s="4"/>
    </row>
    <row r="12454" spans="5:8" x14ac:dyDescent="0.25">
      <c r="E12454" s="34"/>
      <c r="G12454" s="34"/>
      <c r="H12454" s="4"/>
    </row>
    <row r="12455" spans="5:8" x14ac:dyDescent="0.25">
      <c r="E12455" s="34"/>
      <c r="G12455" s="34"/>
      <c r="H12455" s="4"/>
    </row>
    <row r="12456" spans="5:8" x14ac:dyDescent="0.25">
      <c r="E12456" s="34"/>
      <c r="G12456" s="34"/>
      <c r="H12456" s="4"/>
    </row>
    <row r="12457" spans="5:8" x14ac:dyDescent="0.25">
      <c r="E12457" s="34"/>
      <c r="G12457" s="34"/>
      <c r="H12457" s="4"/>
    </row>
    <row r="12458" spans="5:8" x14ac:dyDescent="0.25">
      <c r="E12458" s="34"/>
      <c r="G12458" s="34"/>
      <c r="H12458" s="4"/>
    </row>
    <row r="12459" spans="5:8" x14ac:dyDescent="0.25">
      <c r="E12459" s="34"/>
      <c r="G12459" s="34"/>
      <c r="H12459" s="4"/>
    </row>
    <row r="12460" spans="5:8" x14ac:dyDescent="0.25">
      <c r="E12460" s="34"/>
      <c r="G12460" s="34"/>
      <c r="H12460" s="4"/>
    </row>
    <row r="12461" spans="5:8" x14ac:dyDescent="0.25">
      <c r="E12461" s="34"/>
      <c r="G12461" s="34"/>
      <c r="H12461" s="4"/>
    </row>
    <row r="12462" spans="5:8" x14ac:dyDescent="0.25">
      <c r="E12462" s="34"/>
      <c r="G12462" s="34"/>
      <c r="H12462" s="4"/>
    </row>
    <row r="12463" spans="5:8" x14ac:dyDescent="0.25">
      <c r="E12463" s="34"/>
      <c r="G12463" s="34"/>
      <c r="H12463" s="4"/>
    </row>
    <row r="12464" spans="5:8" x14ac:dyDescent="0.25">
      <c r="E12464" s="34"/>
      <c r="G12464" s="34"/>
      <c r="H12464" s="4"/>
    </row>
    <row r="12465" spans="5:8" x14ac:dyDescent="0.25">
      <c r="E12465" s="34"/>
      <c r="G12465" s="34"/>
      <c r="H12465" s="4"/>
    </row>
    <row r="12466" spans="5:8" x14ac:dyDescent="0.25">
      <c r="E12466" s="34"/>
      <c r="G12466" s="34"/>
      <c r="H12466" s="4"/>
    </row>
    <row r="12467" spans="5:8" x14ac:dyDescent="0.25">
      <c r="E12467" s="34"/>
      <c r="G12467" s="34"/>
      <c r="H12467" s="4"/>
    </row>
    <row r="12468" spans="5:8" x14ac:dyDescent="0.25">
      <c r="E12468" s="34"/>
      <c r="G12468" s="34"/>
      <c r="H12468" s="4"/>
    </row>
    <row r="12469" spans="5:8" x14ac:dyDescent="0.25">
      <c r="E12469" s="34"/>
      <c r="G12469" s="34"/>
      <c r="H12469" s="4"/>
    </row>
    <row r="12470" spans="5:8" x14ac:dyDescent="0.25">
      <c r="E12470" s="34"/>
      <c r="G12470" s="34"/>
      <c r="H12470" s="4"/>
    </row>
    <row r="12471" spans="5:8" x14ac:dyDescent="0.25">
      <c r="E12471" s="34"/>
      <c r="G12471" s="34"/>
      <c r="H12471" s="4"/>
    </row>
    <row r="12472" spans="5:8" x14ac:dyDescent="0.25">
      <c r="E12472" s="34"/>
      <c r="G12472" s="34"/>
      <c r="H12472" s="4"/>
    </row>
    <row r="12473" spans="5:8" x14ac:dyDescent="0.25">
      <c r="E12473" s="34"/>
      <c r="G12473" s="34"/>
      <c r="H12473" s="4"/>
    </row>
    <row r="12474" spans="5:8" x14ac:dyDescent="0.25">
      <c r="E12474" s="34"/>
      <c r="G12474" s="34"/>
      <c r="H12474" s="4"/>
    </row>
    <row r="12475" spans="5:8" x14ac:dyDescent="0.25">
      <c r="E12475" s="34"/>
      <c r="G12475" s="34"/>
      <c r="H12475" s="4"/>
    </row>
    <row r="12476" spans="5:8" x14ac:dyDescent="0.25">
      <c r="E12476" s="34"/>
      <c r="G12476" s="34"/>
      <c r="H12476" s="4"/>
    </row>
    <row r="12477" spans="5:8" x14ac:dyDescent="0.25">
      <c r="E12477" s="34"/>
      <c r="G12477" s="34"/>
      <c r="H12477" s="4"/>
    </row>
    <row r="12478" spans="5:8" x14ac:dyDescent="0.25">
      <c r="E12478" s="34"/>
      <c r="G12478" s="34"/>
      <c r="H12478" s="4"/>
    </row>
    <row r="12479" spans="5:8" x14ac:dyDescent="0.25">
      <c r="E12479" s="34"/>
      <c r="G12479" s="34"/>
      <c r="H12479" s="4"/>
    </row>
    <row r="12480" spans="5:8" x14ac:dyDescent="0.25">
      <c r="E12480" s="34"/>
      <c r="G12480" s="34"/>
      <c r="H12480" s="4"/>
    </row>
    <row r="12481" spans="5:8" x14ac:dyDescent="0.25">
      <c r="E12481" s="34"/>
      <c r="G12481" s="34"/>
      <c r="H12481" s="4"/>
    </row>
    <row r="12482" spans="5:8" x14ac:dyDescent="0.25">
      <c r="E12482" s="34"/>
      <c r="G12482" s="34"/>
      <c r="H12482" s="4"/>
    </row>
    <row r="12483" spans="5:8" x14ac:dyDescent="0.25">
      <c r="E12483" s="34"/>
      <c r="G12483" s="34"/>
      <c r="H12483" s="4"/>
    </row>
    <row r="12484" spans="5:8" x14ac:dyDescent="0.25">
      <c r="E12484" s="34"/>
      <c r="G12484" s="34"/>
      <c r="H12484" s="4"/>
    </row>
    <row r="12485" spans="5:8" x14ac:dyDescent="0.25">
      <c r="E12485" s="34"/>
      <c r="G12485" s="34"/>
      <c r="H12485" s="4"/>
    </row>
    <row r="12486" spans="5:8" x14ac:dyDescent="0.25">
      <c r="E12486" s="34"/>
      <c r="G12486" s="34"/>
      <c r="H12486" s="4"/>
    </row>
    <row r="12487" spans="5:8" x14ac:dyDescent="0.25">
      <c r="E12487" s="34"/>
      <c r="G12487" s="34"/>
      <c r="H12487" s="4"/>
    </row>
    <row r="12488" spans="5:8" x14ac:dyDescent="0.25">
      <c r="E12488" s="34"/>
      <c r="G12488" s="34"/>
      <c r="H12488" s="4"/>
    </row>
    <row r="12489" spans="5:8" x14ac:dyDescent="0.25">
      <c r="E12489" s="34"/>
      <c r="G12489" s="34"/>
      <c r="H12489" s="4"/>
    </row>
    <row r="12490" spans="5:8" x14ac:dyDescent="0.25">
      <c r="E12490" s="34"/>
      <c r="G12490" s="34"/>
      <c r="H12490" s="4"/>
    </row>
    <row r="12491" spans="5:8" x14ac:dyDescent="0.25">
      <c r="E12491" s="34"/>
      <c r="G12491" s="34"/>
      <c r="H12491" s="4"/>
    </row>
    <row r="12492" spans="5:8" x14ac:dyDescent="0.25">
      <c r="E12492" s="34"/>
      <c r="G12492" s="34"/>
      <c r="H12492" s="4"/>
    </row>
    <row r="12493" spans="5:8" x14ac:dyDescent="0.25">
      <c r="E12493" s="34"/>
      <c r="G12493" s="34"/>
      <c r="H12493" s="4"/>
    </row>
    <row r="12494" spans="5:8" x14ac:dyDescent="0.25">
      <c r="E12494" s="34"/>
      <c r="G12494" s="34"/>
      <c r="H12494" s="4"/>
    </row>
    <row r="12495" spans="5:8" x14ac:dyDescent="0.25">
      <c r="E12495" s="34"/>
      <c r="G12495" s="34"/>
      <c r="H12495" s="4"/>
    </row>
    <row r="12496" spans="5:8" x14ac:dyDescent="0.25">
      <c r="E12496" s="34"/>
      <c r="G12496" s="34"/>
      <c r="H12496" s="4"/>
    </row>
    <row r="12497" spans="5:8" x14ac:dyDescent="0.25">
      <c r="E12497" s="34"/>
      <c r="G12497" s="34"/>
      <c r="H12497" s="4"/>
    </row>
    <row r="12498" spans="5:8" x14ac:dyDescent="0.25">
      <c r="E12498" s="34"/>
      <c r="G12498" s="34"/>
      <c r="H12498" s="4"/>
    </row>
    <row r="12499" spans="5:8" x14ac:dyDescent="0.25">
      <c r="E12499" s="34"/>
      <c r="G12499" s="34"/>
      <c r="H12499" s="4"/>
    </row>
    <row r="12500" spans="5:8" x14ac:dyDescent="0.25">
      <c r="E12500" s="34"/>
      <c r="G12500" s="34"/>
      <c r="H12500" s="4"/>
    </row>
    <row r="12501" spans="5:8" x14ac:dyDescent="0.25">
      <c r="E12501" s="34"/>
      <c r="G12501" s="34"/>
      <c r="H12501" s="4"/>
    </row>
    <row r="12502" spans="5:8" x14ac:dyDescent="0.25">
      <c r="E12502" s="34"/>
      <c r="G12502" s="34"/>
      <c r="H12502" s="4"/>
    </row>
    <row r="12503" spans="5:8" x14ac:dyDescent="0.25">
      <c r="E12503" s="34"/>
      <c r="G12503" s="34"/>
      <c r="H12503" s="4"/>
    </row>
    <row r="12504" spans="5:8" x14ac:dyDescent="0.25">
      <c r="E12504" s="34"/>
      <c r="G12504" s="34"/>
      <c r="H12504" s="4"/>
    </row>
    <row r="12505" spans="5:8" x14ac:dyDescent="0.25">
      <c r="E12505" s="34"/>
      <c r="G12505" s="34"/>
      <c r="H12505" s="4"/>
    </row>
    <row r="12506" spans="5:8" x14ac:dyDescent="0.25">
      <c r="E12506" s="34"/>
      <c r="G12506" s="34"/>
      <c r="H12506" s="4"/>
    </row>
    <row r="12507" spans="5:8" x14ac:dyDescent="0.25">
      <c r="E12507" s="34"/>
      <c r="G12507" s="34"/>
      <c r="H12507" s="4"/>
    </row>
    <row r="12508" spans="5:8" x14ac:dyDescent="0.25">
      <c r="E12508" s="34"/>
      <c r="G12508" s="34"/>
      <c r="H12508" s="4"/>
    </row>
    <row r="12509" spans="5:8" x14ac:dyDescent="0.25">
      <c r="E12509" s="34"/>
      <c r="G12509" s="34"/>
      <c r="H12509" s="4"/>
    </row>
    <row r="12510" spans="5:8" x14ac:dyDescent="0.25">
      <c r="E12510" s="34"/>
      <c r="G12510" s="34"/>
      <c r="H12510" s="4"/>
    </row>
    <row r="12511" spans="5:8" x14ac:dyDescent="0.25">
      <c r="E12511" s="34"/>
      <c r="G12511" s="34"/>
      <c r="H12511" s="4"/>
    </row>
    <row r="12512" spans="5:8" x14ac:dyDescent="0.25">
      <c r="E12512" s="34"/>
      <c r="G12512" s="34"/>
      <c r="H12512" s="4"/>
    </row>
    <row r="12513" spans="5:8" x14ac:dyDescent="0.25">
      <c r="E12513" s="34"/>
      <c r="G12513" s="34"/>
      <c r="H12513" s="4"/>
    </row>
    <row r="12514" spans="5:8" x14ac:dyDescent="0.25">
      <c r="E12514" s="34"/>
      <c r="G12514" s="34"/>
      <c r="H12514" s="4"/>
    </row>
    <row r="12515" spans="5:8" x14ac:dyDescent="0.25">
      <c r="E12515" s="34"/>
      <c r="G12515" s="34"/>
      <c r="H12515" s="4"/>
    </row>
    <row r="12516" spans="5:8" x14ac:dyDescent="0.25">
      <c r="E12516" s="34"/>
      <c r="G12516" s="34"/>
      <c r="H12516" s="4"/>
    </row>
    <row r="12517" spans="5:8" x14ac:dyDescent="0.25">
      <c r="E12517" s="34"/>
      <c r="G12517" s="34"/>
      <c r="H12517" s="4"/>
    </row>
    <row r="12518" spans="5:8" x14ac:dyDescent="0.25">
      <c r="E12518" s="34"/>
      <c r="G12518" s="34"/>
      <c r="H12518" s="4"/>
    </row>
    <row r="12519" spans="5:8" x14ac:dyDescent="0.25">
      <c r="E12519" s="34"/>
      <c r="G12519" s="34"/>
      <c r="H12519" s="4"/>
    </row>
    <row r="12520" spans="5:8" x14ac:dyDescent="0.25">
      <c r="E12520" s="34"/>
      <c r="G12520" s="34"/>
      <c r="H12520" s="4"/>
    </row>
    <row r="12521" spans="5:8" x14ac:dyDescent="0.25">
      <c r="E12521" s="34"/>
      <c r="G12521" s="34"/>
      <c r="H12521" s="4"/>
    </row>
    <row r="12522" spans="5:8" x14ac:dyDescent="0.25">
      <c r="E12522" s="34"/>
      <c r="G12522" s="34"/>
      <c r="H12522" s="4"/>
    </row>
    <row r="12523" spans="5:8" x14ac:dyDescent="0.25">
      <c r="E12523" s="34"/>
      <c r="G12523" s="34"/>
      <c r="H12523" s="4"/>
    </row>
    <row r="12524" spans="5:8" x14ac:dyDescent="0.25">
      <c r="E12524" s="34"/>
      <c r="G12524" s="34"/>
      <c r="H12524" s="4"/>
    </row>
    <row r="12525" spans="5:8" x14ac:dyDescent="0.25">
      <c r="E12525" s="34"/>
      <c r="G12525" s="34"/>
      <c r="H12525" s="4"/>
    </row>
    <row r="12526" spans="5:8" x14ac:dyDescent="0.25">
      <c r="E12526" s="34"/>
      <c r="G12526" s="34"/>
      <c r="H12526" s="4"/>
    </row>
    <row r="12527" spans="5:8" x14ac:dyDescent="0.25">
      <c r="E12527" s="34"/>
      <c r="G12527" s="34"/>
      <c r="H12527" s="4"/>
    </row>
    <row r="12528" spans="5:8" x14ac:dyDescent="0.25">
      <c r="E12528" s="34"/>
      <c r="G12528" s="34"/>
      <c r="H12528" s="4"/>
    </row>
    <row r="12529" spans="5:8" x14ac:dyDescent="0.25">
      <c r="E12529" s="34"/>
      <c r="G12529" s="34"/>
      <c r="H12529" s="4"/>
    </row>
    <row r="12530" spans="5:8" x14ac:dyDescent="0.25">
      <c r="E12530" s="34"/>
      <c r="G12530" s="34"/>
      <c r="H12530" s="4"/>
    </row>
    <row r="12531" spans="5:8" x14ac:dyDescent="0.25">
      <c r="E12531" s="34"/>
      <c r="G12531" s="34"/>
      <c r="H12531" s="4"/>
    </row>
    <row r="12532" spans="5:8" x14ac:dyDescent="0.25">
      <c r="E12532" s="34"/>
      <c r="G12532" s="34"/>
      <c r="H12532" s="4"/>
    </row>
    <row r="12533" spans="5:8" x14ac:dyDescent="0.25">
      <c r="E12533" s="34"/>
      <c r="G12533" s="34"/>
      <c r="H12533" s="4"/>
    </row>
    <row r="12534" spans="5:8" x14ac:dyDescent="0.25">
      <c r="E12534" s="34"/>
      <c r="G12534" s="34"/>
      <c r="H12534" s="4"/>
    </row>
    <row r="12535" spans="5:8" x14ac:dyDescent="0.25">
      <c r="E12535" s="34"/>
      <c r="G12535" s="34"/>
      <c r="H12535" s="4"/>
    </row>
    <row r="12536" spans="5:8" x14ac:dyDescent="0.25">
      <c r="E12536" s="34"/>
      <c r="G12536" s="34"/>
      <c r="H12536" s="4"/>
    </row>
    <row r="12537" spans="5:8" x14ac:dyDescent="0.25">
      <c r="E12537" s="34"/>
      <c r="G12537" s="34"/>
      <c r="H12537" s="4"/>
    </row>
    <row r="12538" spans="5:8" x14ac:dyDescent="0.25">
      <c r="E12538" s="34"/>
      <c r="G12538" s="34"/>
      <c r="H12538" s="4"/>
    </row>
    <row r="12539" spans="5:8" x14ac:dyDescent="0.25">
      <c r="E12539" s="34"/>
      <c r="G12539" s="34"/>
      <c r="H12539" s="4"/>
    </row>
    <row r="12540" spans="5:8" x14ac:dyDescent="0.25">
      <c r="E12540" s="34"/>
      <c r="G12540" s="34"/>
      <c r="H12540" s="4"/>
    </row>
    <row r="12541" spans="5:8" x14ac:dyDescent="0.25">
      <c r="E12541" s="34"/>
      <c r="G12541" s="34"/>
      <c r="H12541" s="4"/>
    </row>
    <row r="12542" spans="5:8" x14ac:dyDescent="0.25">
      <c r="E12542" s="34"/>
      <c r="G12542" s="34"/>
      <c r="H12542" s="4"/>
    </row>
    <row r="12543" spans="5:8" x14ac:dyDescent="0.25">
      <c r="E12543" s="34"/>
      <c r="G12543" s="34"/>
      <c r="H12543" s="4"/>
    </row>
    <row r="12544" spans="5:8" x14ac:dyDescent="0.25">
      <c r="E12544" s="34"/>
      <c r="G12544" s="34"/>
      <c r="H12544" s="4"/>
    </row>
    <row r="12545" spans="5:8" x14ac:dyDescent="0.25">
      <c r="E12545" s="34"/>
      <c r="G12545" s="34"/>
      <c r="H12545" s="4"/>
    </row>
    <row r="12546" spans="5:8" x14ac:dyDescent="0.25">
      <c r="E12546" s="34"/>
      <c r="G12546" s="34"/>
      <c r="H12546" s="4"/>
    </row>
    <row r="12547" spans="5:8" x14ac:dyDescent="0.25">
      <c r="E12547" s="34"/>
      <c r="G12547" s="34"/>
      <c r="H12547" s="4"/>
    </row>
    <row r="12548" spans="5:8" x14ac:dyDescent="0.25">
      <c r="E12548" s="34"/>
      <c r="G12548" s="34"/>
      <c r="H12548" s="4"/>
    </row>
    <row r="12549" spans="5:8" x14ac:dyDescent="0.25">
      <c r="E12549" s="34"/>
      <c r="G12549" s="34"/>
      <c r="H12549" s="4"/>
    </row>
    <row r="12550" spans="5:8" x14ac:dyDescent="0.25">
      <c r="E12550" s="34"/>
      <c r="G12550" s="34"/>
      <c r="H12550" s="4"/>
    </row>
    <row r="12551" spans="5:8" x14ac:dyDescent="0.25">
      <c r="E12551" s="34"/>
      <c r="G12551" s="34"/>
      <c r="H12551" s="4"/>
    </row>
    <row r="12552" spans="5:8" x14ac:dyDescent="0.25">
      <c r="E12552" s="34"/>
      <c r="G12552" s="34"/>
      <c r="H12552" s="4"/>
    </row>
    <row r="12553" spans="5:8" x14ac:dyDescent="0.25">
      <c r="E12553" s="34"/>
      <c r="G12553" s="34"/>
      <c r="H12553" s="4"/>
    </row>
    <row r="12554" spans="5:8" x14ac:dyDescent="0.25">
      <c r="E12554" s="34"/>
      <c r="G12554" s="34"/>
      <c r="H12554" s="4"/>
    </row>
    <row r="12555" spans="5:8" x14ac:dyDescent="0.25">
      <c r="E12555" s="34"/>
      <c r="G12555" s="34"/>
      <c r="H12555" s="4"/>
    </row>
    <row r="12556" spans="5:8" x14ac:dyDescent="0.25">
      <c r="E12556" s="34"/>
      <c r="G12556" s="34"/>
      <c r="H12556" s="4"/>
    </row>
    <row r="12557" spans="5:8" x14ac:dyDescent="0.25">
      <c r="E12557" s="34"/>
      <c r="G12557" s="34"/>
      <c r="H12557" s="4"/>
    </row>
    <row r="12558" spans="5:8" x14ac:dyDescent="0.25">
      <c r="E12558" s="34"/>
      <c r="G12558" s="34"/>
      <c r="H12558" s="4"/>
    </row>
    <row r="12559" spans="5:8" x14ac:dyDescent="0.25">
      <c r="E12559" s="34"/>
      <c r="G12559" s="34"/>
      <c r="H12559" s="4"/>
    </row>
    <row r="12560" spans="5:8" x14ac:dyDescent="0.25">
      <c r="E12560" s="34"/>
      <c r="G12560" s="34"/>
      <c r="H12560" s="4"/>
    </row>
    <row r="12561" spans="5:8" x14ac:dyDescent="0.25">
      <c r="E12561" s="34"/>
      <c r="G12561" s="34"/>
      <c r="H12561" s="4"/>
    </row>
    <row r="12562" spans="5:8" x14ac:dyDescent="0.25">
      <c r="E12562" s="34"/>
      <c r="G12562" s="34"/>
      <c r="H12562" s="4"/>
    </row>
    <row r="12563" spans="5:8" x14ac:dyDescent="0.25">
      <c r="E12563" s="34"/>
      <c r="G12563" s="34"/>
      <c r="H12563" s="4"/>
    </row>
    <row r="12564" spans="5:8" x14ac:dyDescent="0.25">
      <c r="E12564" s="34"/>
      <c r="G12564" s="34"/>
      <c r="H12564" s="4"/>
    </row>
    <row r="12565" spans="5:8" x14ac:dyDescent="0.25">
      <c r="E12565" s="34"/>
      <c r="G12565" s="34"/>
      <c r="H12565" s="4"/>
    </row>
    <row r="12566" spans="5:8" x14ac:dyDescent="0.25">
      <c r="E12566" s="34"/>
      <c r="G12566" s="34"/>
      <c r="H12566" s="4"/>
    </row>
    <row r="12567" spans="5:8" x14ac:dyDescent="0.25">
      <c r="E12567" s="34"/>
      <c r="G12567" s="34"/>
      <c r="H12567" s="4"/>
    </row>
    <row r="12568" spans="5:8" x14ac:dyDescent="0.25">
      <c r="E12568" s="34"/>
      <c r="G12568" s="34"/>
      <c r="H12568" s="4"/>
    </row>
    <row r="12569" spans="5:8" x14ac:dyDescent="0.25">
      <c r="E12569" s="34"/>
      <c r="G12569" s="34"/>
      <c r="H12569" s="4"/>
    </row>
    <row r="12570" spans="5:8" x14ac:dyDescent="0.25">
      <c r="E12570" s="34"/>
      <c r="G12570" s="34"/>
      <c r="H12570" s="4"/>
    </row>
    <row r="12571" spans="5:8" x14ac:dyDescent="0.25">
      <c r="E12571" s="34"/>
      <c r="G12571" s="34"/>
      <c r="H12571" s="4"/>
    </row>
    <row r="12572" spans="5:8" x14ac:dyDescent="0.25">
      <c r="E12572" s="34"/>
      <c r="G12572" s="34"/>
      <c r="H12572" s="4"/>
    </row>
    <row r="12573" spans="5:8" x14ac:dyDescent="0.25">
      <c r="E12573" s="34"/>
      <c r="G12573" s="34"/>
      <c r="H12573" s="4"/>
    </row>
    <row r="12574" spans="5:8" x14ac:dyDescent="0.25">
      <c r="E12574" s="34"/>
      <c r="G12574" s="34"/>
      <c r="H12574" s="4"/>
    </row>
    <row r="12575" spans="5:8" x14ac:dyDescent="0.25">
      <c r="E12575" s="34"/>
      <c r="G12575" s="34"/>
      <c r="H12575" s="4"/>
    </row>
    <row r="12576" spans="5:8" x14ac:dyDescent="0.25">
      <c r="E12576" s="34"/>
      <c r="G12576" s="34"/>
      <c r="H12576" s="4"/>
    </row>
    <row r="12577" spans="5:8" x14ac:dyDescent="0.25">
      <c r="E12577" s="34"/>
      <c r="G12577" s="34"/>
      <c r="H12577" s="4"/>
    </row>
    <row r="12578" spans="5:8" x14ac:dyDescent="0.25">
      <c r="E12578" s="34"/>
      <c r="G12578" s="34"/>
      <c r="H12578" s="4"/>
    </row>
    <row r="12579" spans="5:8" x14ac:dyDescent="0.25">
      <c r="E12579" s="34"/>
      <c r="G12579" s="34"/>
      <c r="H12579" s="4"/>
    </row>
    <row r="12580" spans="5:8" x14ac:dyDescent="0.25">
      <c r="E12580" s="34"/>
      <c r="G12580" s="34"/>
      <c r="H12580" s="4"/>
    </row>
    <row r="12581" spans="5:8" x14ac:dyDescent="0.25">
      <c r="E12581" s="34"/>
      <c r="G12581" s="34"/>
      <c r="H12581" s="4"/>
    </row>
    <row r="12582" spans="5:8" x14ac:dyDescent="0.25">
      <c r="E12582" s="34"/>
      <c r="G12582" s="34"/>
      <c r="H12582" s="4"/>
    </row>
    <row r="12583" spans="5:8" x14ac:dyDescent="0.25">
      <c r="E12583" s="34"/>
      <c r="G12583" s="34"/>
      <c r="H12583" s="4"/>
    </row>
    <row r="12584" spans="5:8" x14ac:dyDescent="0.25">
      <c r="E12584" s="34"/>
      <c r="G12584" s="34"/>
      <c r="H12584" s="4"/>
    </row>
    <row r="12585" spans="5:8" x14ac:dyDescent="0.25">
      <c r="E12585" s="34"/>
      <c r="G12585" s="34"/>
      <c r="H12585" s="4"/>
    </row>
    <row r="12586" spans="5:8" x14ac:dyDescent="0.25">
      <c r="E12586" s="34"/>
      <c r="G12586" s="34"/>
      <c r="H12586" s="4"/>
    </row>
    <row r="12587" spans="5:8" x14ac:dyDescent="0.25">
      <c r="E12587" s="34"/>
      <c r="G12587" s="34"/>
      <c r="H12587" s="4"/>
    </row>
    <row r="12588" spans="5:8" x14ac:dyDescent="0.25">
      <c r="E12588" s="34"/>
      <c r="G12588" s="34"/>
      <c r="H12588" s="4"/>
    </row>
    <row r="12589" spans="5:8" x14ac:dyDescent="0.25">
      <c r="E12589" s="34"/>
      <c r="G12589" s="34"/>
      <c r="H12589" s="4"/>
    </row>
    <row r="12590" spans="5:8" x14ac:dyDescent="0.25">
      <c r="E12590" s="34"/>
      <c r="G12590" s="34"/>
      <c r="H12590" s="4"/>
    </row>
    <row r="12591" spans="5:8" x14ac:dyDescent="0.25">
      <c r="E12591" s="34"/>
      <c r="G12591" s="34"/>
      <c r="H12591" s="4"/>
    </row>
    <row r="12592" spans="5:8" x14ac:dyDescent="0.25">
      <c r="E12592" s="34"/>
      <c r="G12592" s="34"/>
      <c r="H12592" s="4"/>
    </row>
    <row r="12593" spans="5:8" x14ac:dyDescent="0.25">
      <c r="E12593" s="34"/>
      <c r="G12593" s="34"/>
      <c r="H12593" s="4"/>
    </row>
    <row r="12594" spans="5:8" x14ac:dyDescent="0.25">
      <c r="E12594" s="34"/>
      <c r="G12594" s="34"/>
      <c r="H12594" s="4"/>
    </row>
    <row r="12595" spans="5:8" x14ac:dyDescent="0.25">
      <c r="E12595" s="34"/>
      <c r="G12595" s="34"/>
      <c r="H12595" s="4"/>
    </row>
    <row r="12596" spans="5:8" x14ac:dyDescent="0.25">
      <c r="E12596" s="34"/>
      <c r="G12596" s="34"/>
      <c r="H12596" s="4"/>
    </row>
    <row r="12597" spans="5:8" x14ac:dyDescent="0.25">
      <c r="E12597" s="34"/>
      <c r="G12597" s="34"/>
      <c r="H12597" s="4"/>
    </row>
    <row r="12598" spans="5:8" x14ac:dyDescent="0.25">
      <c r="E12598" s="34"/>
      <c r="G12598" s="34"/>
      <c r="H12598" s="4"/>
    </row>
    <row r="12599" spans="5:8" x14ac:dyDescent="0.25">
      <c r="E12599" s="34"/>
      <c r="G12599" s="34"/>
      <c r="H12599" s="4"/>
    </row>
    <row r="12600" spans="5:8" x14ac:dyDescent="0.25">
      <c r="E12600" s="34"/>
      <c r="G12600" s="34"/>
      <c r="H12600" s="4"/>
    </row>
    <row r="12601" spans="5:8" x14ac:dyDescent="0.25">
      <c r="E12601" s="34"/>
      <c r="G12601" s="34"/>
      <c r="H12601" s="4"/>
    </row>
    <row r="12602" spans="5:8" x14ac:dyDescent="0.25">
      <c r="E12602" s="34"/>
      <c r="G12602" s="34"/>
      <c r="H12602" s="4"/>
    </row>
    <row r="12603" spans="5:8" x14ac:dyDescent="0.25">
      <c r="E12603" s="34"/>
      <c r="G12603" s="34"/>
      <c r="H12603" s="4"/>
    </row>
    <row r="12604" spans="5:8" x14ac:dyDescent="0.25">
      <c r="E12604" s="34"/>
      <c r="G12604" s="34"/>
      <c r="H12604" s="4"/>
    </row>
    <row r="12605" spans="5:8" x14ac:dyDescent="0.25">
      <c r="E12605" s="34"/>
      <c r="G12605" s="34"/>
      <c r="H12605" s="4"/>
    </row>
    <row r="12606" spans="5:8" x14ac:dyDescent="0.25">
      <c r="E12606" s="34"/>
      <c r="G12606" s="34"/>
      <c r="H12606" s="4"/>
    </row>
    <row r="12607" spans="5:8" x14ac:dyDescent="0.25">
      <c r="E12607" s="34"/>
      <c r="G12607" s="34"/>
      <c r="H12607" s="4"/>
    </row>
    <row r="12608" spans="5:8" x14ac:dyDescent="0.25">
      <c r="E12608" s="34"/>
      <c r="G12608" s="34"/>
      <c r="H12608" s="4"/>
    </row>
    <row r="12609" spans="5:8" x14ac:dyDescent="0.25">
      <c r="E12609" s="34"/>
      <c r="G12609" s="34"/>
      <c r="H12609" s="4"/>
    </row>
    <row r="12610" spans="5:8" x14ac:dyDescent="0.25">
      <c r="E12610" s="34"/>
      <c r="G12610" s="34"/>
      <c r="H12610" s="4"/>
    </row>
    <row r="12611" spans="5:8" x14ac:dyDescent="0.25">
      <c r="E12611" s="34"/>
      <c r="G12611" s="34"/>
      <c r="H12611" s="4"/>
    </row>
    <row r="12612" spans="5:8" x14ac:dyDescent="0.25">
      <c r="E12612" s="34"/>
      <c r="G12612" s="34"/>
      <c r="H12612" s="4"/>
    </row>
    <row r="12613" spans="5:8" x14ac:dyDescent="0.25">
      <c r="E12613" s="34"/>
      <c r="G12613" s="34"/>
      <c r="H12613" s="4"/>
    </row>
    <row r="12614" spans="5:8" x14ac:dyDescent="0.25">
      <c r="E12614" s="34"/>
      <c r="G12614" s="34"/>
      <c r="H12614" s="4"/>
    </row>
    <row r="12615" spans="5:8" x14ac:dyDescent="0.25">
      <c r="E12615" s="34"/>
      <c r="G12615" s="34"/>
      <c r="H12615" s="4"/>
    </row>
    <row r="12616" spans="5:8" x14ac:dyDescent="0.25">
      <c r="E12616" s="34"/>
      <c r="G12616" s="34"/>
      <c r="H12616" s="4"/>
    </row>
    <row r="12617" spans="5:8" x14ac:dyDescent="0.25">
      <c r="E12617" s="34"/>
      <c r="G12617" s="34"/>
      <c r="H12617" s="4"/>
    </row>
    <row r="12618" spans="5:8" x14ac:dyDescent="0.25">
      <c r="E12618" s="34"/>
      <c r="G12618" s="34"/>
      <c r="H12618" s="4"/>
    </row>
    <row r="12619" spans="5:8" x14ac:dyDescent="0.25">
      <c r="E12619" s="34"/>
      <c r="G12619" s="34"/>
      <c r="H12619" s="4"/>
    </row>
    <row r="12620" spans="5:8" x14ac:dyDescent="0.25">
      <c r="E12620" s="34"/>
      <c r="G12620" s="34"/>
      <c r="H12620" s="4"/>
    </row>
    <row r="12621" spans="5:8" x14ac:dyDescent="0.25">
      <c r="E12621" s="34"/>
      <c r="G12621" s="34"/>
      <c r="H12621" s="4"/>
    </row>
    <row r="12622" spans="5:8" x14ac:dyDescent="0.25">
      <c r="E12622" s="34"/>
      <c r="G12622" s="34"/>
      <c r="H12622" s="4"/>
    </row>
    <row r="12623" spans="5:8" x14ac:dyDescent="0.25">
      <c r="E12623" s="34"/>
      <c r="G12623" s="34"/>
      <c r="H12623" s="4"/>
    </row>
    <row r="12624" spans="5:8" x14ac:dyDescent="0.25">
      <c r="E12624" s="34"/>
      <c r="G12624" s="34"/>
      <c r="H12624" s="4"/>
    </row>
    <row r="12625" spans="5:8" x14ac:dyDescent="0.25">
      <c r="E12625" s="34"/>
      <c r="G12625" s="34"/>
      <c r="H12625" s="4"/>
    </row>
    <row r="12626" spans="5:8" x14ac:dyDescent="0.25">
      <c r="E12626" s="34"/>
      <c r="G12626" s="34"/>
      <c r="H12626" s="4"/>
    </row>
    <row r="12627" spans="5:8" x14ac:dyDescent="0.25">
      <c r="E12627" s="34"/>
      <c r="G12627" s="34"/>
      <c r="H12627" s="4"/>
    </row>
    <row r="12628" spans="5:8" x14ac:dyDescent="0.25">
      <c r="E12628" s="34"/>
      <c r="G12628" s="34"/>
      <c r="H12628" s="4"/>
    </row>
    <row r="12629" spans="5:8" x14ac:dyDescent="0.25">
      <c r="E12629" s="34"/>
      <c r="G12629" s="34"/>
      <c r="H12629" s="4"/>
    </row>
    <row r="12630" spans="5:8" x14ac:dyDescent="0.25">
      <c r="E12630" s="34"/>
      <c r="G12630" s="34"/>
      <c r="H12630" s="4"/>
    </row>
    <row r="12631" spans="5:8" x14ac:dyDescent="0.25">
      <c r="E12631" s="34"/>
      <c r="G12631" s="34"/>
      <c r="H12631" s="4"/>
    </row>
    <row r="12632" spans="5:8" x14ac:dyDescent="0.25">
      <c r="E12632" s="34"/>
      <c r="G12632" s="34"/>
      <c r="H12632" s="4"/>
    </row>
    <row r="12633" spans="5:8" x14ac:dyDescent="0.25">
      <c r="E12633" s="34"/>
      <c r="G12633" s="34"/>
      <c r="H12633" s="4"/>
    </row>
    <row r="12634" spans="5:8" x14ac:dyDescent="0.25">
      <c r="E12634" s="34"/>
      <c r="G12634" s="34"/>
      <c r="H12634" s="4"/>
    </row>
    <row r="12635" spans="5:8" x14ac:dyDescent="0.25">
      <c r="E12635" s="34"/>
      <c r="G12635" s="34"/>
      <c r="H12635" s="4"/>
    </row>
    <row r="12636" spans="5:8" x14ac:dyDescent="0.25">
      <c r="E12636" s="34"/>
      <c r="G12636" s="34"/>
      <c r="H12636" s="4"/>
    </row>
    <row r="12637" spans="5:8" x14ac:dyDescent="0.25">
      <c r="E12637" s="34"/>
      <c r="G12637" s="34"/>
      <c r="H12637" s="4"/>
    </row>
    <row r="12638" spans="5:8" x14ac:dyDescent="0.25">
      <c r="E12638" s="34"/>
      <c r="G12638" s="34"/>
      <c r="H12638" s="4"/>
    </row>
    <row r="12639" spans="5:8" x14ac:dyDescent="0.25">
      <c r="E12639" s="34"/>
      <c r="G12639" s="34"/>
      <c r="H12639" s="4"/>
    </row>
    <row r="12640" spans="5:8" x14ac:dyDescent="0.25">
      <c r="E12640" s="34"/>
      <c r="G12640" s="34"/>
      <c r="H12640" s="4"/>
    </row>
    <row r="12641" spans="5:8" x14ac:dyDescent="0.25">
      <c r="E12641" s="34"/>
      <c r="G12641" s="34"/>
      <c r="H12641" s="4"/>
    </row>
    <row r="12642" spans="5:8" x14ac:dyDescent="0.25">
      <c r="E12642" s="34"/>
      <c r="G12642" s="34"/>
      <c r="H12642" s="4"/>
    </row>
    <row r="12643" spans="5:8" x14ac:dyDescent="0.25">
      <c r="E12643" s="34"/>
      <c r="G12643" s="34"/>
      <c r="H12643" s="4"/>
    </row>
    <row r="12644" spans="5:8" x14ac:dyDescent="0.25">
      <c r="E12644" s="34"/>
      <c r="G12644" s="34"/>
      <c r="H12644" s="4"/>
    </row>
    <row r="12645" spans="5:8" x14ac:dyDescent="0.25">
      <c r="E12645" s="34"/>
      <c r="G12645" s="34"/>
      <c r="H12645" s="4"/>
    </row>
    <row r="12646" spans="5:8" x14ac:dyDescent="0.25">
      <c r="E12646" s="34"/>
      <c r="G12646" s="34"/>
      <c r="H12646" s="4"/>
    </row>
    <row r="12647" spans="5:8" x14ac:dyDescent="0.25">
      <c r="E12647" s="34"/>
      <c r="G12647" s="34"/>
      <c r="H12647" s="4"/>
    </row>
    <row r="12648" spans="5:8" x14ac:dyDescent="0.25">
      <c r="E12648" s="34"/>
      <c r="G12648" s="34"/>
      <c r="H12648" s="4"/>
    </row>
    <row r="12649" spans="5:8" x14ac:dyDescent="0.25">
      <c r="E12649" s="34"/>
      <c r="G12649" s="34"/>
      <c r="H12649" s="4"/>
    </row>
    <row r="12650" spans="5:8" x14ac:dyDescent="0.25">
      <c r="E12650" s="34"/>
      <c r="G12650" s="34"/>
      <c r="H12650" s="4"/>
    </row>
    <row r="12651" spans="5:8" x14ac:dyDescent="0.25">
      <c r="E12651" s="34"/>
      <c r="G12651" s="34"/>
      <c r="H12651" s="4"/>
    </row>
    <row r="12652" spans="5:8" x14ac:dyDescent="0.25">
      <c r="E12652" s="34"/>
      <c r="G12652" s="34"/>
      <c r="H12652" s="4"/>
    </row>
    <row r="12653" spans="5:8" x14ac:dyDescent="0.25">
      <c r="E12653" s="34"/>
      <c r="G12653" s="34"/>
      <c r="H12653" s="4"/>
    </row>
    <row r="12654" spans="5:8" x14ac:dyDescent="0.25">
      <c r="E12654" s="34"/>
      <c r="G12654" s="34"/>
      <c r="H12654" s="4"/>
    </row>
    <row r="12655" spans="5:8" x14ac:dyDescent="0.25">
      <c r="E12655" s="34"/>
      <c r="G12655" s="34"/>
      <c r="H12655" s="4"/>
    </row>
    <row r="12656" spans="5:8" x14ac:dyDescent="0.25">
      <c r="E12656" s="34"/>
      <c r="G12656" s="34"/>
      <c r="H12656" s="4"/>
    </row>
    <row r="12657" spans="5:8" x14ac:dyDescent="0.25">
      <c r="E12657" s="34"/>
      <c r="G12657" s="34"/>
      <c r="H12657" s="4"/>
    </row>
    <row r="12658" spans="5:8" x14ac:dyDescent="0.25">
      <c r="E12658" s="34"/>
      <c r="G12658" s="34"/>
      <c r="H12658" s="4"/>
    </row>
    <row r="12659" spans="5:8" x14ac:dyDescent="0.25">
      <c r="E12659" s="34"/>
      <c r="G12659" s="34"/>
      <c r="H12659" s="4"/>
    </row>
    <row r="12660" spans="5:8" x14ac:dyDescent="0.25">
      <c r="E12660" s="34"/>
      <c r="G12660" s="34"/>
      <c r="H12660" s="4"/>
    </row>
    <row r="12661" spans="5:8" x14ac:dyDescent="0.25">
      <c r="E12661" s="34"/>
      <c r="G12661" s="34"/>
      <c r="H12661" s="4"/>
    </row>
    <row r="12662" spans="5:8" x14ac:dyDescent="0.25">
      <c r="E12662" s="34"/>
      <c r="G12662" s="34"/>
      <c r="H12662" s="4"/>
    </row>
    <row r="12663" spans="5:8" x14ac:dyDescent="0.25">
      <c r="E12663" s="34"/>
      <c r="G12663" s="34"/>
      <c r="H12663" s="4"/>
    </row>
    <row r="12664" spans="5:8" x14ac:dyDescent="0.25">
      <c r="E12664" s="34"/>
      <c r="G12664" s="34"/>
      <c r="H12664" s="4"/>
    </row>
    <row r="12665" spans="5:8" x14ac:dyDescent="0.25">
      <c r="E12665" s="34"/>
      <c r="G12665" s="34"/>
      <c r="H12665" s="4"/>
    </row>
    <row r="12666" spans="5:8" x14ac:dyDescent="0.25">
      <c r="E12666" s="34"/>
      <c r="G12666" s="34"/>
      <c r="H12666" s="4"/>
    </row>
    <row r="12667" spans="5:8" x14ac:dyDescent="0.25">
      <c r="E12667" s="34"/>
      <c r="G12667" s="34"/>
      <c r="H12667" s="4"/>
    </row>
    <row r="12668" spans="5:8" x14ac:dyDescent="0.25">
      <c r="E12668" s="34"/>
      <c r="G12668" s="34"/>
      <c r="H12668" s="4"/>
    </row>
    <row r="12669" spans="5:8" x14ac:dyDescent="0.25">
      <c r="E12669" s="34"/>
      <c r="G12669" s="34"/>
      <c r="H12669" s="4"/>
    </row>
    <row r="12670" spans="5:8" x14ac:dyDescent="0.25">
      <c r="E12670" s="34"/>
      <c r="G12670" s="34"/>
      <c r="H12670" s="4"/>
    </row>
    <row r="12671" spans="5:8" x14ac:dyDescent="0.25">
      <c r="E12671" s="34"/>
      <c r="G12671" s="34"/>
      <c r="H12671" s="4"/>
    </row>
    <row r="12672" spans="5:8" x14ac:dyDescent="0.25">
      <c r="E12672" s="34"/>
      <c r="G12672" s="34"/>
      <c r="H12672" s="4"/>
    </row>
    <row r="12673" spans="5:8" x14ac:dyDescent="0.25">
      <c r="E12673" s="34"/>
      <c r="G12673" s="34"/>
      <c r="H12673" s="4"/>
    </row>
    <row r="12674" spans="5:8" x14ac:dyDescent="0.25">
      <c r="E12674" s="34"/>
      <c r="G12674" s="34"/>
      <c r="H12674" s="4"/>
    </row>
    <row r="12675" spans="5:8" x14ac:dyDescent="0.25">
      <c r="E12675" s="34"/>
      <c r="G12675" s="34"/>
      <c r="H12675" s="4"/>
    </row>
    <row r="12676" spans="5:8" x14ac:dyDescent="0.25">
      <c r="E12676" s="34"/>
      <c r="G12676" s="34"/>
      <c r="H12676" s="4"/>
    </row>
    <row r="12677" spans="5:8" x14ac:dyDescent="0.25">
      <c r="E12677" s="34"/>
      <c r="G12677" s="34"/>
      <c r="H12677" s="4"/>
    </row>
    <row r="12678" spans="5:8" x14ac:dyDescent="0.25">
      <c r="E12678" s="34"/>
      <c r="G12678" s="34"/>
      <c r="H12678" s="4"/>
    </row>
    <row r="12679" spans="5:8" x14ac:dyDescent="0.25">
      <c r="E12679" s="34"/>
      <c r="G12679" s="34"/>
      <c r="H12679" s="4"/>
    </row>
    <row r="12680" spans="5:8" x14ac:dyDescent="0.25">
      <c r="E12680" s="34"/>
      <c r="G12680" s="34"/>
      <c r="H12680" s="4"/>
    </row>
    <row r="12681" spans="5:8" x14ac:dyDescent="0.25">
      <c r="E12681" s="34"/>
      <c r="G12681" s="34"/>
      <c r="H12681" s="4"/>
    </row>
    <row r="12682" spans="5:8" x14ac:dyDescent="0.25">
      <c r="E12682" s="34"/>
      <c r="G12682" s="34"/>
      <c r="H12682" s="4"/>
    </row>
    <row r="12683" spans="5:8" x14ac:dyDescent="0.25">
      <c r="E12683" s="34"/>
      <c r="G12683" s="34"/>
      <c r="H12683" s="4"/>
    </row>
    <row r="12684" spans="5:8" x14ac:dyDescent="0.25">
      <c r="E12684" s="34"/>
      <c r="G12684" s="34"/>
      <c r="H12684" s="4"/>
    </row>
    <row r="12685" spans="5:8" x14ac:dyDescent="0.25">
      <c r="E12685" s="34"/>
      <c r="G12685" s="34"/>
      <c r="H12685" s="4"/>
    </row>
    <row r="12686" spans="5:8" x14ac:dyDescent="0.25">
      <c r="E12686" s="34"/>
      <c r="G12686" s="34"/>
      <c r="H12686" s="4"/>
    </row>
    <row r="12687" spans="5:8" x14ac:dyDescent="0.25">
      <c r="E12687" s="34"/>
      <c r="G12687" s="34"/>
      <c r="H12687" s="4"/>
    </row>
    <row r="12688" spans="5:8" x14ac:dyDescent="0.25">
      <c r="E12688" s="34"/>
      <c r="G12688" s="34"/>
      <c r="H12688" s="4"/>
    </row>
    <row r="12689" spans="5:8" x14ac:dyDescent="0.25">
      <c r="E12689" s="34"/>
      <c r="G12689" s="34"/>
      <c r="H12689" s="4"/>
    </row>
    <row r="12690" spans="5:8" x14ac:dyDescent="0.25">
      <c r="E12690" s="34"/>
      <c r="G12690" s="34"/>
      <c r="H12690" s="4"/>
    </row>
    <row r="12691" spans="5:8" x14ac:dyDescent="0.25">
      <c r="E12691" s="34"/>
      <c r="G12691" s="34"/>
      <c r="H12691" s="4"/>
    </row>
    <row r="12692" spans="5:8" x14ac:dyDescent="0.25">
      <c r="E12692" s="34"/>
      <c r="G12692" s="34"/>
      <c r="H12692" s="4"/>
    </row>
    <row r="12693" spans="5:8" x14ac:dyDescent="0.25">
      <c r="E12693" s="34"/>
      <c r="G12693" s="34"/>
      <c r="H12693" s="4"/>
    </row>
    <row r="12694" spans="5:8" x14ac:dyDescent="0.25">
      <c r="E12694" s="34"/>
      <c r="G12694" s="34"/>
      <c r="H12694" s="4"/>
    </row>
    <row r="12695" spans="5:8" x14ac:dyDescent="0.25">
      <c r="E12695" s="34"/>
      <c r="G12695" s="34"/>
      <c r="H12695" s="4"/>
    </row>
    <row r="12696" spans="5:8" x14ac:dyDescent="0.25">
      <c r="E12696" s="34"/>
      <c r="G12696" s="34"/>
      <c r="H12696" s="4"/>
    </row>
    <row r="12697" spans="5:8" x14ac:dyDescent="0.25">
      <c r="E12697" s="34"/>
      <c r="G12697" s="34"/>
      <c r="H12697" s="4"/>
    </row>
    <row r="12698" spans="5:8" x14ac:dyDescent="0.25">
      <c r="E12698" s="34"/>
      <c r="G12698" s="34"/>
      <c r="H12698" s="4"/>
    </row>
    <row r="12699" spans="5:8" x14ac:dyDescent="0.25">
      <c r="E12699" s="34"/>
      <c r="G12699" s="34"/>
      <c r="H12699" s="4"/>
    </row>
    <row r="12700" spans="5:8" x14ac:dyDescent="0.25">
      <c r="E12700" s="34"/>
      <c r="G12700" s="34"/>
      <c r="H12700" s="4"/>
    </row>
    <row r="12701" spans="5:8" x14ac:dyDescent="0.25">
      <c r="E12701" s="34"/>
      <c r="G12701" s="34"/>
      <c r="H12701" s="4"/>
    </row>
    <row r="12702" spans="5:8" x14ac:dyDescent="0.25">
      <c r="E12702" s="34"/>
      <c r="G12702" s="34"/>
      <c r="H12702" s="4"/>
    </row>
    <row r="12703" spans="5:8" x14ac:dyDescent="0.25">
      <c r="E12703" s="34"/>
      <c r="G12703" s="34"/>
      <c r="H12703" s="4"/>
    </row>
    <row r="12704" spans="5:8" x14ac:dyDescent="0.25">
      <c r="E12704" s="34"/>
      <c r="G12704" s="34"/>
      <c r="H12704" s="4"/>
    </row>
    <row r="12705" spans="5:8" x14ac:dyDescent="0.25">
      <c r="E12705" s="34"/>
      <c r="G12705" s="34"/>
      <c r="H12705" s="4"/>
    </row>
    <row r="12706" spans="5:8" x14ac:dyDescent="0.25">
      <c r="E12706" s="34"/>
      <c r="G12706" s="34"/>
      <c r="H12706" s="4"/>
    </row>
    <row r="12707" spans="5:8" x14ac:dyDescent="0.25">
      <c r="E12707" s="34"/>
      <c r="G12707" s="34"/>
      <c r="H12707" s="4"/>
    </row>
    <row r="12708" spans="5:8" x14ac:dyDescent="0.25">
      <c r="E12708" s="34"/>
      <c r="G12708" s="34"/>
      <c r="H12708" s="4"/>
    </row>
    <row r="12709" spans="5:8" x14ac:dyDescent="0.25">
      <c r="E12709" s="34"/>
      <c r="G12709" s="34"/>
      <c r="H12709" s="4"/>
    </row>
    <row r="12710" spans="5:8" x14ac:dyDescent="0.25">
      <c r="E12710" s="34"/>
      <c r="G12710" s="34"/>
      <c r="H12710" s="4"/>
    </row>
    <row r="12711" spans="5:8" x14ac:dyDescent="0.25">
      <c r="E12711" s="34"/>
      <c r="G12711" s="34"/>
      <c r="H12711" s="4"/>
    </row>
    <row r="12712" spans="5:8" x14ac:dyDescent="0.25">
      <c r="E12712" s="34"/>
      <c r="G12712" s="34"/>
      <c r="H12712" s="4"/>
    </row>
    <row r="12713" spans="5:8" x14ac:dyDescent="0.25">
      <c r="E12713" s="34"/>
      <c r="G12713" s="34"/>
      <c r="H12713" s="4"/>
    </row>
    <row r="12714" spans="5:8" x14ac:dyDescent="0.25">
      <c r="E12714" s="34"/>
      <c r="G12714" s="34"/>
      <c r="H12714" s="4"/>
    </row>
    <row r="12715" spans="5:8" x14ac:dyDescent="0.25">
      <c r="E12715" s="34"/>
      <c r="G12715" s="34"/>
      <c r="H12715" s="4"/>
    </row>
    <row r="12716" spans="5:8" x14ac:dyDescent="0.25">
      <c r="E12716" s="34"/>
      <c r="G12716" s="34"/>
      <c r="H12716" s="4"/>
    </row>
    <row r="12717" spans="5:8" x14ac:dyDescent="0.25">
      <c r="E12717" s="34"/>
      <c r="G12717" s="34"/>
      <c r="H12717" s="4"/>
    </row>
    <row r="12718" spans="5:8" x14ac:dyDescent="0.25">
      <c r="E12718" s="34"/>
      <c r="G12718" s="34"/>
      <c r="H12718" s="4"/>
    </row>
    <row r="12719" spans="5:8" x14ac:dyDescent="0.25">
      <c r="E12719" s="34"/>
      <c r="G12719" s="34"/>
      <c r="H12719" s="4"/>
    </row>
    <row r="12720" spans="5:8" x14ac:dyDescent="0.25">
      <c r="E12720" s="34"/>
      <c r="G12720" s="34"/>
      <c r="H12720" s="4"/>
    </row>
    <row r="12721" spans="5:8" x14ac:dyDescent="0.25">
      <c r="E12721" s="34"/>
      <c r="G12721" s="34"/>
      <c r="H12721" s="4"/>
    </row>
    <row r="12722" spans="5:8" x14ac:dyDescent="0.25">
      <c r="E12722" s="34"/>
      <c r="G12722" s="34"/>
      <c r="H12722" s="4"/>
    </row>
    <row r="12723" spans="5:8" x14ac:dyDescent="0.25">
      <c r="E12723" s="34"/>
      <c r="G12723" s="34"/>
      <c r="H12723" s="4"/>
    </row>
    <row r="12724" spans="5:8" x14ac:dyDescent="0.25">
      <c r="E12724" s="34"/>
      <c r="G12724" s="34"/>
      <c r="H12724" s="4"/>
    </row>
    <row r="12725" spans="5:8" x14ac:dyDescent="0.25">
      <c r="E12725" s="34"/>
      <c r="G12725" s="34"/>
      <c r="H12725" s="4"/>
    </row>
    <row r="12726" spans="5:8" x14ac:dyDescent="0.25">
      <c r="E12726" s="34"/>
      <c r="G12726" s="34"/>
      <c r="H12726" s="4"/>
    </row>
    <row r="12727" spans="5:8" x14ac:dyDescent="0.25">
      <c r="E12727" s="34"/>
      <c r="G12727" s="34"/>
      <c r="H12727" s="4"/>
    </row>
    <row r="12728" spans="5:8" x14ac:dyDescent="0.25">
      <c r="E12728" s="34"/>
      <c r="G12728" s="34"/>
      <c r="H12728" s="4"/>
    </row>
    <row r="12729" spans="5:8" x14ac:dyDescent="0.25">
      <c r="E12729" s="34"/>
      <c r="G12729" s="34"/>
      <c r="H12729" s="4"/>
    </row>
    <row r="12730" spans="5:8" x14ac:dyDescent="0.25">
      <c r="E12730" s="34"/>
      <c r="G12730" s="34"/>
      <c r="H12730" s="4"/>
    </row>
    <row r="12731" spans="5:8" x14ac:dyDescent="0.25">
      <c r="E12731" s="34"/>
      <c r="G12731" s="34"/>
      <c r="H12731" s="4"/>
    </row>
    <row r="12732" spans="5:8" x14ac:dyDescent="0.25">
      <c r="E12732" s="34"/>
      <c r="G12732" s="34"/>
      <c r="H12732" s="4"/>
    </row>
    <row r="12733" spans="5:8" x14ac:dyDescent="0.25">
      <c r="E12733" s="34"/>
      <c r="G12733" s="34"/>
      <c r="H12733" s="4"/>
    </row>
    <row r="12734" spans="5:8" x14ac:dyDescent="0.25">
      <c r="E12734" s="34"/>
      <c r="G12734" s="34"/>
      <c r="H12734" s="4"/>
    </row>
    <row r="12735" spans="5:8" x14ac:dyDescent="0.25">
      <c r="E12735" s="34"/>
      <c r="G12735" s="34"/>
      <c r="H12735" s="4"/>
    </row>
    <row r="12736" spans="5:8" x14ac:dyDescent="0.25">
      <c r="E12736" s="34"/>
      <c r="G12736" s="34"/>
      <c r="H12736" s="4"/>
    </row>
    <row r="12737" spans="5:8" x14ac:dyDescent="0.25">
      <c r="E12737" s="34"/>
      <c r="G12737" s="34"/>
      <c r="H12737" s="4"/>
    </row>
    <row r="12738" spans="5:8" x14ac:dyDescent="0.25">
      <c r="E12738" s="34"/>
      <c r="G12738" s="34"/>
      <c r="H12738" s="4"/>
    </row>
    <row r="12739" spans="5:8" x14ac:dyDescent="0.25">
      <c r="E12739" s="34"/>
      <c r="G12739" s="34"/>
      <c r="H12739" s="4"/>
    </row>
    <row r="12740" spans="5:8" x14ac:dyDescent="0.25">
      <c r="E12740" s="34"/>
      <c r="G12740" s="34"/>
      <c r="H12740" s="4"/>
    </row>
    <row r="12741" spans="5:8" x14ac:dyDescent="0.25">
      <c r="E12741" s="34"/>
      <c r="G12741" s="34"/>
      <c r="H12741" s="4"/>
    </row>
    <row r="12742" spans="5:8" x14ac:dyDescent="0.25">
      <c r="E12742" s="34"/>
      <c r="G12742" s="34"/>
      <c r="H12742" s="4"/>
    </row>
    <row r="12743" spans="5:8" x14ac:dyDescent="0.25">
      <c r="E12743" s="34"/>
      <c r="G12743" s="34"/>
      <c r="H12743" s="4"/>
    </row>
    <row r="12744" spans="5:8" x14ac:dyDescent="0.25">
      <c r="E12744" s="34"/>
      <c r="G12744" s="34"/>
      <c r="H12744" s="4"/>
    </row>
    <row r="12745" spans="5:8" x14ac:dyDescent="0.25">
      <c r="E12745" s="34"/>
      <c r="G12745" s="34"/>
      <c r="H12745" s="4"/>
    </row>
    <row r="12746" spans="5:8" x14ac:dyDescent="0.25">
      <c r="E12746" s="34"/>
      <c r="G12746" s="34"/>
      <c r="H12746" s="4"/>
    </row>
    <row r="12747" spans="5:8" x14ac:dyDescent="0.25">
      <c r="E12747" s="34"/>
      <c r="G12747" s="34"/>
      <c r="H12747" s="4"/>
    </row>
    <row r="12748" spans="5:8" x14ac:dyDescent="0.25">
      <c r="E12748" s="34"/>
      <c r="G12748" s="34"/>
      <c r="H12748" s="4"/>
    </row>
    <row r="12749" spans="5:8" x14ac:dyDescent="0.25">
      <c r="E12749" s="34"/>
      <c r="G12749" s="34"/>
      <c r="H12749" s="4"/>
    </row>
    <row r="12750" spans="5:8" x14ac:dyDescent="0.25">
      <c r="E12750" s="34"/>
      <c r="G12750" s="34"/>
      <c r="H12750" s="4"/>
    </row>
    <row r="12751" spans="5:8" x14ac:dyDescent="0.25">
      <c r="E12751" s="34"/>
      <c r="G12751" s="34"/>
      <c r="H12751" s="4"/>
    </row>
    <row r="12752" spans="5:8" x14ac:dyDescent="0.25">
      <c r="E12752" s="34"/>
      <c r="G12752" s="34"/>
      <c r="H12752" s="4"/>
    </row>
    <row r="12753" spans="5:8" x14ac:dyDescent="0.25">
      <c r="E12753" s="34"/>
      <c r="G12753" s="34"/>
      <c r="H12753" s="4"/>
    </row>
    <row r="12754" spans="5:8" x14ac:dyDescent="0.25">
      <c r="E12754" s="34"/>
      <c r="G12754" s="34"/>
      <c r="H12754" s="4"/>
    </row>
    <row r="12755" spans="5:8" x14ac:dyDescent="0.25">
      <c r="E12755" s="34"/>
      <c r="G12755" s="34"/>
      <c r="H12755" s="4"/>
    </row>
    <row r="12756" spans="5:8" x14ac:dyDescent="0.25">
      <c r="E12756" s="34"/>
      <c r="G12756" s="34"/>
      <c r="H12756" s="4"/>
    </row>
    <row r="12757" spans="5:8" x14ac:dyDescent="0.25">
      <c r="E12757" s="34"/>
      <c r="G12757" s="34"/>
      <c r="H12757" s="4"/>
    </row>
    <row r="12758" spans="5:8" x14ac:dyDescent="0.25">
      <c r="E12758" s="34"/>
      <c r="G12758" s="34"/>
      <c r="H12758" s="4"/>
    </row>
    <row r="12759" spans="5:8" x14ac:dyDescent="0.25">
      <c r="E12759" s="34"/>
      <c r="G12759" s="34"/>
      <c r="H12759" s="4"/>
    </row>
    <row r="12760" spans="5:8" x14ac:dyDescent="0.25">
      <c r="E12760" s="34"/>
      <c r="G12760" s="34"/>
      <c r="H12760" s="4"/>
    </row>
    <row r="12761" spans="5:8" x14ac:dyDescent="0.25">
      <c r="E12761" s="34"/>
      <c r="G12761" s="34"/>
      <c r="H12761" s="4"/>
    </row>
    <row r="12762" spans="5:8" x14ac:dyDescent="0.25">
      <c r="E12762" s="34"/>
      <c r="G12762" s="34"/>
      <c r="H12762" s="4"/>
    </row>
    <row r="12763" spans="5:8" x14ac:dyDescent="0.25">
      <c r="E12763" s="34"/>
      <c r="G12763" s="34"/>
      <c r="H12763" s="4"/>
    </row>
    <row r="12764" spans="5:8" x14ac:dyDescent="0.25">
      <c r="E12764" s="34"/>
      <c r="G12764" s="34"/>
      <c r="H12764" s="4"/>
    </row>
    <row r="12765" spans="5:8" x14ac:dyDescent="0.25">
      <c r="E12765" s="34"/>
      <c r="G12765" s="34"/>
      <c r="H12765" s="4"/>
    </row>
    <row r="12766" spans="5:8" x14ac:dyDescent="0.25">
      <c r="E12766" s="34"/>
      <c r="G12766" s="34"/>
      <c r="H12766" s="4"/>
    </row>
    <row r="12767" spans="5:8" x14ac:dyDescent="0.25">
      <c r="E12767" s="34"/>
      <c r="G12767" s="34"/>
      <c r="H12767" s="4"/>
    </row>
    <row r="12768" spans="5:8" x14ac:dyDescent="0.25">
      <c r="E12768" s="34"/>
      <c r="G12768" s="34"/>
      <c r="H12768" s="4"/>
    </row>
    <row r="12769" spans="5:8" x14ac:dyDescent="0.25">
      <c r="E12769" s="34"/>
      <c r="G12769" s="34"/>
      <c r="H12769" s="4"/>
    </row>
    <row r="12770" spans="5:8" x14ac:dyDescent="0.25">
      <c r="E12770" s="34"/>
      <c r="G12770" s="34"/>
      <c r="H12770" s="4"/>
    </row>
    <row r="12771" spans="5:8" x14ac:dyDescent="0.25">
      <c r="E12771" s="34"/>
      <c r="G12771" s="34"/>
      <c r="H12771" s="4"/>
    </row>
    <row r="12772" spans="5:8" x14ac:dyDescent="0.25">
      <c r="E12772" s="34"/>
      <c r="G12772" s="34"/>
      <c r="H12772" s="4"/>
    </row>
    <row r="12773" spans="5:8" x14ac:dyDescent="0.25">
      <c r="E12773" s="34"/>
      <c r="G12773" s="34"/>
      <c r="H12773" s="4"/>
    </row>
    <row r="12774" spans="5:8" x14ac:dyDescent="0.25">
      <c r="E12774" s="34"/>
      <c r="G12774" s="34"/>
      <c r="H12774" s="4"/>
    </row>
    <row r="12775" spans="5:8" x14ac:dyDescent="0.25">
      <c r="E12775" s="34"/>
      <c r="G12775" s="34"/>
      <c r="H12775" s="4"/>
    </row>
    <row r="12776" spans="5:8" x14ac:dyDescent="0.25">
      <c r="E12776" s="34"/>
      <c r="G12776" s="34"/>
      <c r="H12776" s="4"/>
    </row>
    <row r="12777" spans="5:8" x14ac:dyDescent="0.25">
      <c r="E12777" s="34"/>
      <c r="G12777" s="34"/>
      <c r="H12777" s="4"/>
    </row>
    <row r="12778" spans="5:8" x14ac:dyDescent="0.25">
      <c r="E12778" s="34"/>
      <c r="G12778" s="34"/>
      <c r="H12778" s="4"/>
    </row>
    <row r="12779" spans="5:8" x14ac:dyDescent="0.25">
      <c r="E12779" s="34"/>
      <c r="G12779" s="34"/>
      <c r="H12779" s="4"/>
    </row>
    <row r="12780" spans="5:8" x14ac:dyDescent="0.25">
      <c r="E12780" s="34"/>
      <c r="G12780" s="34"/>
      <c r="H12780" s="4"/>
    </row>
    <row r="12781" spans="5:8" x14ac:dyDescent="0.25">
      <c r="E12781" s="34"/>
      <c r="G12781" s="34"/>
      <c r="H12781" s="4"/>
    </row>
    <row r="12782" spans="5:8" x14ac:dyDescent="0.25">
      <c r="E12782" s="34"/>
      <c r="G12782" s="34"/>
      <c r="H12782" s="4"/>
    </row>
    <row r="12783" spans="5:8" x14ac:dyDescent="0.25">
      <c r="E12783" s="34"/>
      <c r="G12783" s="34"/>
      <c r="H12783" s="4"/>
    </row>
    <row r="12784" spans="5:8" x14ac:dyDescent="0.25">
      <c r="E12784" s="34"/>
      <c r="G12784" s="34"/>
      <c r="H12784" s="4"/>
    </row>
    <row r="12785" spans="5:8" x14ac:dyDescent="0.25">
      <c r="E12785" s="34"/>
      <c r="G12785" s="34"/>
      <c r="H12785" s="4"/>
    </row>
    <row r="12786" spans="5:8" x14ac:dyDescent="0.25">
      <c r="E12786" s="34"/>
      <c r="G12786" s="34"/>
      <c r="H12786" s="4"/>
    </row>
    <row r="12787" spans="5:8" x14ac:dyDescent="0.25">
      <c r="E12787" s="34"/>
      <c r="G12787" s="34"/>
      <c r="H12787" s="4"/>
    </row>
    <row r="12788" spans="5:8" x14ac:dyDescent="0.25">
      <c r="E12788" s="34"/>
      <c r="G12788" s="34"/>
      <c r="H12788" s="4"/>
    </row>
    <row r="12789" spans="5:8" x14ac:dyDescent="0.25">
      <c r="E12789" s="34"/>
      <c r="G12789" s="34"/>
      <c r="H12789" s="4"/>
    </row>
    <row r="12790" spans="5:8" x14ac:dyDescent="0.25">
      <c r="E12790" s="34"/>
      <c r="G12790" s="34"/>
      <c r="H12790" s="4"/>
    </row>
    <row r="12791" spans="5:8" x14ac:dyDescent="0.25">
      <c r="E12791" s="34"/>
      <c r="G12791" s="34"/>
      <c r="H12791" s="4"/>
    </row>
    <row r="12792" spans="5:8" x14ac:dyDescent="0.25">
      <c r="E12792" s="34"/>
      <c r="G12792" s="34"/>
      <c r="H12792" s="4"/>
    </row>
    <row r="12793" spans="5:8" x14ac:dyDescent="0.25">
      <c r="E12793" s="34"/>
      <c r="G12793" s="34"/>
      <c r="H12793" s="4"/>
    </row>
    <row r="12794" spans="5:8" x14ac:dyDescent="0.25">
      <c r="E12794" s="34"/>
      <c r="G12794" s="34"/>
      <c r="H12794" s="4"/>
    </row>
    <row r="12795" spans="5:8" x14ac:dyDescent="0.25">
      <c r="E12795" s="34"/>
      <c r="G12795" s="34"/>
      <c r="H12795" s="4"/>
    </row>
    <row r="12796" spans="5:8" x14ac:dyDescent="0.25">
      <c r="E12796" s="34"/>
      <c r="G12796" s="34"/>
      <c r="H12796" s="4"/>
    </row>
    <row r="12797" spans="5:8" x14ac:dyDescent="0.25">
      <c r="E12797" s="34"/>
      <c r="G12797" s="34"/>
      <c r="H12797" s="4"/>
    </row>
    <row r="12798" spans="5:8" x14ac:dyDescent="0.25">
      <c r="E12798" s="34"/>
      <c r="G12798" s="34"/>
      <c r="H12798" s="4"/>
    </row>
    <row r="12799" spans="5:8" x14ac:dyDescent="0.25">
      <c r="E12799" s="34"/>
      <c r="G12799" s="34"/>
      <c r="H12799" s="4"/>
    </row>
    <row r="12800" spans="5:8" x14ac:dyDescent="0.25">
      <c r="E12800" s="34"/>
      <c r="G12800" s="34"/>
      <c r="H12800" s="4"/>
    </row>
    <row r="12801" spans="5:8" x14ac:dyDescent="0.25">
      <c r="E12801" s="34"/>
      <c r="G12801" s="34"/>
      <c r="H12801" s="4"/>
    </row>
    <row r="12802" spans="5:8" x14ac:dyDescent="0.25">
      <c r="E12802" s="34"/>
      <c r="G12802" s="34"/>
      <c r="H12802" s="4"/>
    </row>
    <row r="12803" spans="5:8" x14ac:dyDescent="0.25">
      <c r="E12803" s="34"/>
      <c r="G12803" s="34"/>
      <c r="H12803" s="4"/>
    </row>
    <row r="12804" spans="5:8" x14ac:dyDescent="0.25">
      <c r="E12804" s="34"/>
      <c r="G12804" s="34"/>
      <c r="H12804" s="4"/>
    </row>
    <row r="12805" spans="5:8" x14ac:dyDescent="0.25">
      <c r="E12805" s="34"/>
      <c r="G12805" s="34"/>
      <c r="H12805" s="4"/>
    </row>
    <row r="12806" spans="5:8" x14ac:dyDescent="0.25">
      <c r="E12806" s="34"/>
      <c r="G12806" s="34"/>
      <c r="H12806" s="4"/>
    </row>
    <row r="12807" spans="5:8" x14ac:dyDescent="0.25">
      <c r="E12807" s="34"/>
      <c r="G12807" s="34"/>
      <c r="H12807" s="4"/>
    </row>
    <row r="12808" spans="5:8" x14ac:dyDescent="0.25">
      <c r="E12808" s="34"/>
      <c r="G12808" s="34"/>
      <c r="H12808" s="4"/>
    </row>
    <row r="12809" spans="5:8" x14ac:dyDescent="0.25">
      <c r="E12809" s="34"/>
      <c r="G12809" s="34"/>
      <c r="H12809" s="4"/>
    </row>
    <row r="12810" spans="5:8" x14ac:dyDescent="0.25">
      <c r="E12810" s="34"/>
      <c r="G12810" s="34"/>
      <c r="H12810" s="4"/>
    </row>
    <row r="12811" spans="5:8" x14ac:dyDescent="0.25">
      <c r="E12811" s="34"/>
      <c r="G12811" s="34"/>
      <c r="H12811" s="4"/>
    </row>
    <row r="12812" spans="5:8" x14ac:dyDescent="0.25">
      <c r="E12812" s="34"/>
      <c r="G12812" s="34"/>
      <c r="H12812" s="4"/>
    </row>
    <row r="12813" spans="5:8" x14ac:dyDescent="0.25">
      <c r="E12813" s="34"/>
      <c r="G12813" s="34"/>
      <c r="H12813" s="4"/>
    </row>
    <row r="12814" spans="5:8" x14ac:dyDescent="0.25">
      <c r="E12814" s="34"/>
      <c r="G12814" s="34"/>
      <c r="H12814" s="4"/>
    </row>
    <row r="12815" spans="5:8" x14ac:dyDescent="0.25">
      <c r="E12815" s="34"/>
      <c r="G12815" s="34"/>
      <c r="H12815" s="4"/>
    </row>
    <row r="12816" spans="5:8" x14ac:dyDescent="0.25">
      <c r="E12816" s="34"/>
      <c r="G12816" s="34"/>
      <c r="H12816" s="4"/>
    </row>
    <row r="12817" spans="5:8" x14ac:dyDescent="0.25">
      <c r="E12817" s="34"/>
      <c r="G12817" s="34"/>
      <c r="H12817" s="4"/>
    </row>
    <row r="12818" spans="5:8" x14ac:dyDescent="0.25">
      <c r="E12818" s="34"/>
      <c r="G12818" s="34"/>
      <c r="H12818" s="4"/>
    </row>
    <row r="12819" spans="5:8" x14ac:dyDescent="0.25">
      <c r="E12819" s="34"/>
      <c r="G12819" s="34"/>
      <c r="H12819" s="4"/>
    </row>
    <row r="12820" spans="5:8" x14ac:dyDescent="0.25">
      <c r="E12820" s="34"/>
      <c r="G12820" s="34"/>
      <c r="H12820" s="4"/>
    </row>
    <row r="12821" spans="5:8" x14ac:dyDescent="0.25">
      <c r="E12821" s="34"/>
      <c r="G12821" s="34"/>
      <c r="H12821" s="4"/>
    </row>
    <row r="12822" spans="5:8" x14ac:dyDescent="0.25">
      <c r="E12822" s="34"/>
      <c r="G12822" s="34"/>
      <c r="H12822" s="4"/>
    </row>
    <row r="12823" spans="5:8" x14ac:dyDescent="0.25">
      <c r="E12823" s="34"/>
      <c r="G12823" s="34"/>
      <c r="H12823" s="4"/>
    </row>
    <row r="12824" spans="5:8" x14ac:dyDescent="0.25">
      <c r="E12824" s="34"/>
      <c r="G12824" s="34"/>
      <c r="H12824" s="4"/>
    </row>
    <row r="12825" spans="5:8" x14ac:dyDescent="0.25">
      <c r="E12825" s="34"/>
      <c r="G12825" s="34"/>
      <c r="H12825" s="4"/>
    </row>
    <row r="12826" spans="5:8" x14ac:dyDescent="0.25">
      <c r="E12826" s="34"/>
      <c r="G12826" s="34"/>
      <c r="H12826" s="4"/>
    </row>
    <row r="12827" spans="5:8" x14ac:dyDescent="0.25">
      <c r="E12827" s="34"/>
      <c r="G12827" s="34"/>
      <c r="H12827" s="4"/>
    </row>
    <row r="12828" spans="5:8" x14ac:dyDescent="0.25">
      <c r="E12828" s="34"/>
      <c r="G12828" s="34"/>
      <c r="H12828" s="4"/>
    </row>
    <row r="12829" spans="5:8" x14ac:dyDescent="0.25">
      <c r="E12829" s="34"/>
      <c r="G12829" s="34"/>
      <c r="H12829" s="4"/>
    </row>
    <row r="12830" spans="5:8" x14ac:dyDescent="0.25">
      <c r="E12830" s="34"/>
      <c r="G12830" s="34"/>
      <c r="H12830" s="4"/>
    </row>
    <row r="12831" spans="5:8" x14ac:dyDescent="0.25">
      <c r="E12831" s="34"/>
      <c r="G12831" s="34"/>
      <c r="H12831" s="4"/>
    </row>
    <row r="12832" spans="5:8" x14ac:dyDescent="0.25">
      <c r="E12832" s="34"/>
      <c r="G12832" s="34"/>
      <c r="H12832" s="4"/>
    </row>
    <row r="12833" spans="5:8" x14ac:dyDescent="0.25">
      <c r="E12833" s="34"/>
      <c r="G12833" s="34"/>
      <c r="H12833" s="4"/>
    </row>
    <row r="12834" spans="5:8" x14ac:dyDescent="0.25">
      <c r="E12834" s="34"/>
      <c r="G12834" s="34"/>
      <c r="H12834" s="4"/>
    </row>
    <row r="12835" spans="5:8" x14ac:dyDescent="0.25">
      <c r="E12835" s="34"/>
      <c r="G12835" s="34"/>
      <c r="H12835" s="4"/>
    </row>
    <row r="12836" spans="5:8" x14ac:dyDescent="0.25">
      <c r="E12836" s="34"/>
      <c r="G12836" s="34"/>
      <c r="H12836" s="4"/>
    </row>
    <row r="12837" spans="5:8" x14ac:dyDescent="0.25">
      <c r="E12837" s="34"/>
      <c r="G12837" s="34"/>
      <c r="H12837" s="4"/>
    </row>
    <row r="12838" spans="5:8" x14ac:dyDescent="0.25">
      <c r="E12838" s="34"/>
      <c r="G12838" s="34"/>
      <c r="H12838" s="4"/>
    </row>
    <row r="12839" spans="5:8" x14ac:dyDescent="0.25">
      <c r="E12839" s="34"/>
      <c r="G12839" s="34"/>
      <c r="H12839" s="4"/>
    </row>
    <row r="12840" spans="5:8" x14ac:dyDescent="0.25">
      <c r="E12840" s="34"/>
      <c r="G12840" s="34"/>
      <c r="H12840" s="4"/>
    </row>
    <row r="12841" spans="5:8" x14ac:dyDescent="0.25">
      <c r="E12841" s="34"/>
      <c r="G12841" s="34"/>
      <c r="H12841" s="4"/>
    </row>
    <row r="12842" spans="5:8" x14ac:dyDescent="0.25">
      <c r="E12842" s="34"/>
      <c r="G12842" s="34"/>
      <c r="H12842" s="4"/>
    </row>
    <row r="12843" spans="5:8" x14ac:dyDescent="0.25">
      <c r="E12843" s="34"/>
      <c r="G12843" s="34"/>
      <c r="H12843" s="4"/>
    </row>
    <row r="12844" spans="5:8" x14ac:dyDescent="0.25">
      <c r="E12844" s="34"/>
      <c r="G12844" s="34"/>
      <c r="H12844" s="4"/>
    </row>
    <row r="12845" spans="5:8" x14ac:dyDescent="0.25">
      <c r="E12845" s="34"/>
      <c r="G12845" s="34"/>
      <c r="H12845" s="4"/>
    </row>
    <row r="12846" spans="5:8" x14ac:dyDescent="0.25">
      <c r="E12846" s="34"/>
      <c r="G12846" s="34"/>
      <c r="H12846" s="4"/>
    </row>
    <row r="12847" spans="5:8" x14ac:dyDescent="0.25">
      <c r="E12847" s="34"/>
      <c r="G12847" s="34"/>
      <c r="H12847" s="4"/>
    </row>
    <row r="12848" spans="5:8" x14ac:dyDescent="0.25">
      <c r="E12848" s="34"/>
      <c r="G12848" s="34"/>
      <c r="H12848" s="4"/>
    </row>
    <row r="12849" spans="5:8" x14ac:dyDescent="0.25">
      <c r="E12849" s="34"/>
      <c r="G12849" s="34"/>
      <c r="H12849" s="4"/>
    </row>
    <row r="12850" spans="5:8" x14ac:dyDescent="0.25">
      <c r="E12850" s="34"/>
      <c r="G12850" s="34"/>
      <c r="H12850" s="4"/>
    </row>
    <row r="12851" spans="5:8" x14ac:dyDescent="0.25">
      <c r="E12851" s="34"/>
      <c r="G12851" s="34"/>
      <c r="H12851" s="4"/>
    </row>
    <row r="12852" spans="5:8" x14ac:dyDescent="0.25">
      <c r="E12852" s="34"/>
      <c r="G12852" s="34"/>
      <c r="H12852" s="4"/>
    </row>
    <row r="12853" spans="5:8" x14ac:dyDescent="0.25">
      <c r="E12853" s="34"/>
      <c r="G12853" s="34"/>
      <c r="H12853" s="4"/>
    </row>
    <row r="12854" spans="5:8" x14ac:dyDescent="0.25">
      <c r="E12854" s="34"/>
      <c r="G12854" s="34"/>
      <c r="H12854" s="4"/>
    </row>
    <row r="12855" spans="5:8" x14ac:dyDescent="0.25">
      <c r="E12855" s="34"/>
      <c r="G12855" s="34"/>
      <c r="H12855" s="4"/>
    </row>
    <row r="12856" spans="5:8" x14ac:dyDescent="0.25">
      <c r="E12856" s="34"/>
      <c r="G12856" s="34"/>
      <c r="H12856" s="4"/>
    </row>
    <row r="12857" spans="5:8" x14ac:dyDescent="0.25">
      <c r="E12857" s="34"/>
      <c r="G12857" s="34"/>
      <c r="H12857" s="4"/>
    </row>
    <row r="12858" spans="5:8" x14ac:dyDescent="0.25">
      <c r="E12858" s="34"/>
      <c r="G12858" s="34"/>
      <c r="H12858" s="4"/>
    </row>
    <row r="12859" spans="5:8" x14ac:dyDescent="0.25">
      <c r="E12859" s="34"/>
      <c r="G12859" s="34"/>
      <c r="H12859" s="4"/>
    </row>
    <row r="12860" spans="5:8" x14ac:dyDescent="0.25">
      <c r="E12860" s="34"/>
      <c r="G12860" s="34"/>
      <c r="H12860" s="4"/>
    </row>
    <row r="12861" spans="5:8" x14ac:dyDescent="0.25">
      <c r="E12861" s="34"/>
      <c r="G12861" s="34"/>
      <c r="H12861" s="4"/>
    </row>
    <row r="12862" spans="5:8" x14ac:dyDescent="0.25">
      <c r="E12862" s="34"/>
      <c r="G12862" s="34"/>
      <c r="H12862" s="4"/>
    </row>
    <row r="12863" spans="5:8" x14ac:dyDescent="0.25">
      <c r="E12863" s="34"/>
      <c r="G12863" s="34"/>
      <c r="H12863" s="4"/>
    </row>
    <row r="12864" spans="5:8" x14ac:dyDescent="0.25">
      <c r="E12864" s="34"/>
      <c r="G12864" s="34"/>
      <c r="H12864" s="4"/>
    </row>
    <row r="12865" spans="5:8" x14ac:dyDescent="0.25">
      <c r="E12865" s="34"/>
      <c r="G12865" s="34"/>
      <c r="H12865" s="4"/>
    </row>
    <row r="12866" spans="5:8" x14ac:dyDescent="0.25">
      <c r="E12866" s="34"/>
      <c r="G12866" s="34"/>
      <c r="H12866" s="4"/>
    </row>
    <row r="12867" spans="5:8" x14ac:dyDescent="0.25">
      <c r="E12867" s="34"/>
      <c r="G12867" s="34"/>
      <c r="H12867" s="4"/>
    </row>
    <row r="12868" spans="5:8" x14ac:dyDescent="0.25">
      <c r="E12868" s="34"/>
      <c r="G12868" s="34"/>
      <c r="H12868" s="4"/>
    </row>
    <row r="12869" spans="5:8" x14ac:dyDescent="0.25">
      <c r="E12869" s="34"/>
      <c r="G12869" s="34"/>
      <c r="H12869" s="4"/>
    </row>
    <row r="12870" spans="5:8" x14ac:dyDescent="0.25">
      <c r="E12870" s="34"/>
      <c r="G12870" s="34"/>
      <c r="H12870" s="4"/>
    </row>
    <row r="12871" spans="5:8" x14ac:dyDescent="0.25">
      <c r="E12871" s="34"/>
      <c r="G12871" s="34"/>
      <c r="H12871" s="4"/>
    </row>
    <row r="12872" spans="5:8" x14ac:dyDescent="0.25">
      <c r="E12872" s="34"/>
      <c r="G12872" s="34"/>
      <c r="H12872" s="4"/>
    </row>
    <row r="12873" spans="5:8" x14ac:dyDescent="0.25">
      <c r="E12873" s="34"/>
      <c r="G12873" s="34"/>
      <c r="H12873" s="4"/>
    </row>
    <row r="12874" spans="5:8" x14ac:dyDescent="0.25">
      <c r="E12874" s="34"/>
      <c r="G12874" s="34"/>
      <c r="H12874" s="4"/>
    </row>
    <row r="12875" spans="5:8" x14ac:dyDescent="0.25">
      <c r="E12875" s="34"/>
      <c r="G12875" s="34"/>
      <c r="H12875" s="4"/>
    </row>
    <row r="12876" spans="5:8" x14ac:dyDescent="0.25">
      <c r="E12876" s="34"/>
      <c r="G12876" s="34"/>
      <c r="H12876" s="4"/>
    </row>
    <row r="12877" spans="5:8" x14ac:dyDescent="0.25">
      <c r="E12877" s="34"/>
      <c r="G12877" s="34"/>
      <c r="H12877" s="4"/>
    </row>
    <row r="12878" spans="5:8" x14ac:dyDescent="0.25">
      <c r="E12878" s="34"/>
      <c r="G12878" s="34"/>
      <c r="H12878" s="4"/>
    </row>
    <row r="12879" spans="5:8" x14ac:dyDescent="0.25">
      <c r="E12879" s="34"/>
      <c r="G12879" s="34"/>
      <c r="H12879" s="4"/>
    </row>
    <row r="12880" spans="5:8" x14ac:dyDescent="0.25">
      <c r="E12880" s="34"/>
      <c r="G12880" s="34"/>
      <c r="H12880" s="4"/>
    </row>
    <row r="12881" spans="5:8" x14ac:dyDescent="0.25">
      <c r="E12881" s="34"/>
      <c r="G12881" s="34"/>
      <c r="H12881" s="4"/>
    </row>
    <row r="12882" spans="5:8" x14ac:dyDescent="0.25">
      <c r="E12882" s="34"/>
      <c r="G12882" s="34"/>
      <c r="H12882" s="4"/>
    </row>
    <row r="12883" spans="5:8" x14ac:dyDescent="0.25">
      <c r="E12883" s="34"/>
      <c r="G12883" s="34"/>
      <c r="H12883" s="4"/>
    </row>
    <row r="12884" spans="5:8" x14ac:dyDescent="0.25">
      <c r="E12884" s="34"/>
      <c r="G12884" s="34"/>
      <c r="H12884" s="4"/>
    </row>
    <row r="12885" spans="5:8" x14ac:dyDescent="0.25">
      <c r="E12885" s="34"/>
      <c r="G12885" s="34"/>
      <c r="H12885" s="4"/>
    </row>
    <row r="12886" spans="5:8" x14ac:dyDescent="0.25">
      <c r="E12886" s="34"/>
      <c r="G12886" s="34"/>
      <c r="H12886" s="4"/>
    </row>
    <row r="12887" spans="5:8" x14ac:dyDescent="0.25">
      <c r="E12887" s="34"/>
      <c r="G12887" s="34"/>
      <c r="H12887" s="4"/>
    </row>
    <row r="12888" spans="5:8" x14ac:dyDescent="0.25">
      <c r="E12888" s="34"/>
      <c r="G12888" s="34"/>
      <c r="H12888" s="4"/>
    </row>
    <row r="12889" spans="5:8" x14ac:dyDescent="0.25">
      <c r="E12889" s="34"/>
      <c r="G12889" s="34"/>
      <c r="H12889" s="4"/>
    </row>
    <row r="12890" spans="5:8" x14ac:dyDescent="0.25">
      <c r="E12890" s="34"/>
      <c r="G12890" s="34"/>
      <c r="H12890" s="4"/>
    </row>
    <row r="12891" spans="5:8" x14ac:dyDescent="0.25">
      <c r="E12891" s="34"/>
      <c r="G12891" s="34"/>
      <c r="H12891" s="4"/>
    </row>
    <row r="12892" spans="5:8" x14ac:dyDescent="0.25">
      <c r="E12892" s="34"/>
      <c r="G12892" s="34"/>
      <c r="H12892" s="4"/>
    </row>
    <row r="12893" spans="5:8" x14ac:dyDescent="0.25">
      <c r="E12893" s="34"/>
      <c r="G12893" s="34"/>
      <c r="H12893" s="4"/>
    </row>
    <row r="12894" spans="5:8" x14ac:dyDescent="0.25">
      <c r="E12894" s="34"/>
      <c r="G12894" s="34"/>
      <c r="H12894" s="4"/>
    </row>
    <row r="12895" spans="5:8" x14ac:dyDescent="0.25">
      <c r="E12895" s="34"/>
      <c r="G12895" s="34"/>
      <c r="H12895" s="4"/>
    </row>
    <row r="12896" spans="5:8" x14ac:dyDescent="0.25">
      <c r="E12896" s="34"/>
      <c r="G12896" s="34"/>
      <c r="H12896" s="4"/>
    </row>
    <row r="12897" spans="5:8" x14ac:dyDescent="0.25">
      <c r="E12897" s="34"/>
      <c r="G12897" s="34"/>
      <c r="H12897" s="4"/>
    </row>
    <row r="12898" spans="5:8" x14ac:dyDescent="0.25">
      <c r="E12898" s="34"/>
      <c r="G12898" s="34"/>
      <c r="H12898" s="4"/>
    </row>
    <row r="12899" spans="5:8" x14ac:dyDescent="0.25">
      <c r="E12899" s="34"/>
      <c r="G12899" s="34"/>
      <c r="H12899" s="4"/>
    </row>
    <row r="12900" spans="5:8" x14ac:dyDescent="0.25">
      <c r="E12900" s="34"/>
      <c r="G12900" s="34"/>
      <c r="H12900" s="4"/>
    </row>
    <row r="12901" spans="5:8" x14ac:dyDescent="0.25">
      <c r="E12901" s="34"/>
      <c r="G12901" s="34"/>
      <c r="H12901" s="4"/>
    </row>
    <row r="12902" spans="5:8" x14ac:dyDescent="0.25">
      <c r="E12902" s="34"/>
      <c r="G12902" s="34"/>
      <c r="H12902" s="4"/>
    </row>
    <row r="12903" spans="5:8" x14ac:dyDescent="0.25">
      <c r="E12903" s="34"/>
      <c r="G12903" s="34"/>
      <c r="H12903" s="4"/>
    </row>
    <row r="12904" spans="5:8" x14ac:dyDescent="0.25">
      <c r="E12904" s="34"/>
      <c r="G12904" s="34"/>
      <c r="H12904" s="4"/>
    </row>
    <row r="12905" spans="5:8" x14ac:dyDescent="0.25">
      <c r="E12905" s="34"/>
      <c r="G12905" s="34"/>
      <c r="H12905" s="4"/>
    </row>
    <row r="12906" spans="5:8" x14ac:dyDescent="0.25">
      <c r="E12906" s="34"/>
      <c r="G12906" s="34"/>
      <c r="H12906" s="4"/>
    </row>
    <row r="12907" spans="5:8" x14ac:dyDescent="0.25">
      <c r="E12907" s="34"/>
      <c r="G12907" s="34"/>
      <c r="H12907" s="4"/>
    </row>
    <row r="12908" spans="5:8" x14ac:dyDescent="0.25">
      <c r="E12908" s="34"/>
      <c r="G12908" s="34"/>
      <c r="H12908" s="4"/>
    </row>
    <row r="12909" spans="5:8" x14ac:dyDescent="0.25">
      <c r="E12909" s="34"/>
      <c r="G12909" s="34"/>
      <c r="H12909" s="4"/>
    </row>
    <row r="12910" spans="5:8" x14ac:dyDescent="0.25">
      <c r="E12910" s="34"/>
      <c r="G12910" s="34"/>
      <c r="H12910" s="4"/>
    </row>
    <row r="12911" spans="5:8" x14ac:dyDescent="0.25">
      <c r="E12911" s="34"/>
      <c r="G12911" s="34"/>
      <c r="H12911" s="4"/>
    </row>
    <row r="12912" spans="5:8" x14ac:dyDescent="0.25">
      <c r="E12912" s="34"/>
      <c r="G12912" s="34"/>
      <c r="H12912" s="4"/>
    </row>
    <row r="12913" spans="5:8" x14ac:dyDescent="0.25">
      <c r="E12913" s="34"/>
      <c r="G12913" s="34"/>
      <c r="H12913" s="4"/>
    </row>
    <row r="12914" spans="5:8" x14ac:dyDescent="0.25">
      <c r="E12914" s="34"/>
      <c r="G12914" s="34"/>
      <c r="H12914" s="4"/>
    </row>
    <row r="12915" spans="5:8" x14ac:dyDescent="0.25">
      <c r="E12915" s="34"/>
      <c r="G12915" s="34"/>
      <c r="H12915" s="4"/>
    </row>
    <row r="12916" spans="5:8" x14ac:dyDescent="0.25">
      <c r="E12916" s="34"/>
      <c r="G12916" s="34"/>
      <c r="H12916" s="4"/>
    </row>
    <row r="12917" spans="5:8" x14ac:dyDescent="0.25">
      <c r="E12917" s="34"/>
      <c r="G12917" s="34"/>
      <c r="H12917" s="4"/>
    </row>
    <row r="12918" spans="5:8" x14ac:dyDescent="0.25">
      <c r="E12918" s="34"/>
      <c r="G12918" s="34"/>
      <c r="H12918" s="4"/>
    </row>
    <row r="12919" spans="5:8" x14ac:dyDescent="0.25">
      <c r="E12919" s="34"/>
      <c r="G12919" s="34"/>
      <c r="H12919" s="4"/>
    </row>
    <row r="12920" spans="5:8" x14ac:dyDescent="0.25">
      <c r="E12920" s="34"/>
      <c r="G12920" s="34"/>
      <c r="H12920" s="4"/>
    </row>
    <row r="12921" spans="5:8" x14ac:dyDescent="0.25">
      <c r="E12921" s="34"/>
      <c r="G12921" s="34"/>
      <c r="H12921" s="4"/>
    </row>
    <row r="12922" spans="5:8" x14ac:dyDescent="0.25">
      <c r="E12922" s="34"/>
      <c r="G12922" s="34"/>
      <c r="H12922" s="4"/>
    </row>
    <row r="12923" spans="5:8" x14ac:dyDescent="0.25">
      <c r="E12923" s="34"/>
      <c r="G12923" s="34"/>
      <c r="H12923" s="4"/>
    </row>
    <row r="12924" spans="5:8" x14ac:dyDescent="0.25">
      <c r="E12924" s="34"/>
      <c r="G12924" s="34"/>
      <c r="H12924" s="4"/>
    </row>
    <row r="12925" spans="5:8" x14ac:dyDescent="0.25">
      <c r="E12925" s="34"/>
      <c r="G12925" s="34"/>
      <c r="H12925" s="4"/>
    </row>
    <row r="12926" spans="5:8" x14ac:dyDescent="0.25">
      <c r="E12926" s="34"/>
      <c r="G12926" s="34"/>
      <c r="H12926" s="4"/>
    </row>
    <row r="12927" spans="5:8" x14ac:dyDescent="0.25">
      <c r="E12927" s="34"/>
      <c r="G12927" s="34"/>
      <c r="H12927" s="4"/>
    </row>
    <row r="12928" spans="5:8" x14ac:dyDescent="0.25">
      <c r="E12928" s="34"/>
      <c r="G12928" s="34"/>
      <c r="H12928" s="4"/>
    </row>
    <row r="12929" spans="5:8" x14ac:dyDescent="0.25">
      <c r="E12929" s="34"/>
      <c r="G12929" s="34"/>
      <c r="H12929" s="4"/>
    </row>
    <row r="12930" spans="5:8" x14ac:dyDescent="0.25">
      <c r="E12930" s="34"/>
      <c r="G12930" s="34"/>
      <c r="H12930" s="4"/>
    </row>
    <row r="12931" spans="5:8" x14ac:dyDescent="0.25">
      <c r="E12931" s="34"/>
      <c r="G12931" s="34"/>
      <c r="H12931" s="4"/>
    </row>
    <row r="12932" spans="5:8" x14ac:dyDescent="0.25">
      <c r="E12932" s="34"/>
      <c r="G12932" s="34"/>
      <c r="H12932" s="4"/>
    </row>
    <row r="12933" spans="5:8" x14ac:dyDescent="0.25">
      <c r="E12933" s="34"/>
      <c r="G12933" s="34"/>
      <c r="H12933" s="4"/>
    </row>
    <row r="12934" spans="5:8" x14ac:dyDescent="0.25">
      <c r="E12934" s="34"/>
      <c r="G12934" s="34"/>
      <c r="H12934" s="4"/>
    </row>
    <row r="12935" spans="5:8" x14ac:dyDescent="0.25">
      <c r="E12935" s="34"/>
      <c r="G12935" s="34"/>
      <c r="H12935" s="4"/>
    </row>
    <row r="12936" spans="5:8" x14ac:dyDescent="0.25">
      <c r="E12936" s="34"/>
      <c r="G12936" s="34"/>
      <c r="H12936" s="4"/>
    </row>
    <row r="12937" spans="5:8" x14ac:dyDescent="0.25">
      <c r="E12937" s="34"/>
      <c r="G12937" s="34"/>
      <c r="H12937" s="4"/>
    </row>
    <row r="12938" spans="5:8" x14ac:dyDescent="0.25">
      <c r="E12938" s="34"/>
      <c r="G12938" s="34"/>
      <c r="H12938" s="4"/>
    </row>
    <row r="12939" spans="5:8" x14ac:dyDescent="0.25">
      <c r="E12939" s="34"/>
      <c r="G12939" s="34"/>
      <c r="H12939" s="4"/>
    </row>
    <row r="12940" spans="5:8" x14ac:dyDescent="0.25">
      <c r="E12940" s="34"/>
      <c r="G12940" s="34"/>
      <c r="H12940" s="4"/>
    </row>
    <row r="12941" spans="5:8" x14ac:dyDescent="0.25">
      <c r="E12941" s="34"/>
      <c r="G12941" s="34"/>
      <c r="H12941" s="4"/>
    </row>
    <row r="12942" spans="5:8" x14ac:dyDescent="0.25">
      <c r="E12942" s="34"/>
      <c r="G12942" s="34"/>
      <c r="H12942" s="4"/>
    </row>
    <row r="12943" spans="5:8" x14ac:dyDescent="0.25">
      <c r="E12943" s="34"/>
      <c r="G12943" s="34"/>
      <c r="H12943" s="4"/>
    </row>
    <row r="12944" spans="5:8" x14ac:dyDescent="0.25">
      <c r="E12944" s="34"/>
      <c r="G12944" s="34"/>
      <c r="H12944" s="4"/>
    </row>
    <row r="12945" spans="5:8" x14ac:dyDescent="0.25">
      <c r="E12945" s="34"/>
      <c r="G12945" s="34"/>
      <c r="H12945" s="4"/>
    </row>
    <row r="12946" spans="5:8" x14ac:dyDescent="0.25">
      <c r="E12946" s="34"/>
      <c r="G12946" s="34"/>
      <c r="H12946" s="4"/>
    </row>
    <row r="12947" spans="5:8" x14ac:dyDescent="0.25">
      <c r="E12947" s="34"/>
      <c r="G12947" s="34"/>
      <c r="H12947" s="4"/>
    </row>
    <row r="12948" spans="5:8" x14ac:dyDescent="0.25">
      <c r="E12948" s="34"/>
      <c r="G12948" s="34"/>
      <c r="H12948" s="4"/>
    </row>
    <row r="12949" spans="5:8" x14ac:dyDescent="0.25">
      <c r="E12949" s="34"/>
      <c r="G12949" s="34"/>
      <c r="H12949" s="4"/>
    </row>
    <row r="12950" spans="5:8" x14ac:dyDescent="0.25">
      <c r="E12950" s="34"/>
      <c r="G12950" s="34"/>
      <c r="H12950" s="4"/>
    </row>
    <row r="12951" spans="5:8" x14ac:dyDescent="0.25">
      <c r="E12951" s="34"/>
      <c r="G12951" s="34"/>
      <c r="H12951" s="4"/>
    </row>
    <row r="12952" spans="5:8" x14ac:dyDescent="0.25">
      <c r="E12952" s="34"/>
      <c r="G12952" s="34"/>
      <c r="H12952" s="4"/>
    </row>
    <row r="12953" spans="5:8" x14ac:dyDescent="0.25">
      <c r="E12953" s="34"/>
      <c r="G12953" s="34"/>
      <c r="H12953" s="4"/>
    </row>
    <row r="12954" spans="5:8" x14ac:dyDescent="0.25">
      <c r="E12954" s="34"/>
      <c r="G12954" s="34"/>
      <c r="H12954" s="4"/>
    </row>
    <row r="12955" spans="5:8" x14ac:dyDescent="0.25">
      <c r="E12955" s="34"/>
      <c r="G12955" s="34"/>
      <c r="H12955" s="4"/>
    </row>
    <row r="12956" spans="5:8" x14ac:dyDescent="0.25">
      <c r="E12956" s="34"/>
      <c r="G12956" s="34"/>
      <c r="H12956" s="4"/>
    </row>
    <row r="12957" spans="5:8" x14ac:dyDescent="0.25">
      <c r="E12957" s="34"/>
      <c r="G12957" s="34"/>
      <c r="H12957" s="4"/>
    </row>
    <row r="12958" spans="5:8" x14ac:dyDescent="0.25">
      <c r="E12958" s="34"/>
      <c r="G12958" s="34"/>
      <c r="H12958" s="4"/>
    </row>
    <row r="12959" spans="5:8" x14ac:dyDescent="0.25">
      <c r="E12959" s="34"/>
      <c r="G12959" s="34"/>
      <c r="H12959" s="4"/>
    </row>
    <row r="12960" spans="5:8" x14ac:dyDescent="0.25">
      <c r="E12960" s="34"/>
      <c r="G12960" s="34"/>
      <c r="H12960" s="4"/>
    </row>
    <row r="12961" spans="5:8" x14ac:dyDescent="0.25">
      <c r="E12961" s="34"/>
      <c r="G12961" s="34"/>
      <c r="H12961" s="4"/>
    </row>
    <row r="12962" spans="5:8" x14ac:dyDescent="0.25">
      <c r="E12962" s="34"/>
      <c r="G12962" s="34"/>
      <c r="H12962" s="4"/>
    </row>
    <row r="12963" spans="5:8" x14ac:dyDescent="0.25">
      <c r="E12963" s="34"/>
      <c r="G12963" s="34"/>
      <c r="H12963" s="4"/>
    </row>
    <row r="12964" spans="5:8" x14ac:dyDescent="0.25">
      <c r="E12964" s="34"/>
      <c r="G12964" s="34"/>
      <c r="H12964" s="4"/>
    </row>
    <row r="12965" spans="5:8" x14ac:dyDescent="0.25">
      <c r="E12965" s="34"/>
      <c r="G12965" s="34"/>
      <c r="H12965" s="4"/>
    </row>
    <row r="12966" spans="5:8" x14ac:dyDescent="0.25">
      <c r="E12966" s="34"/>
      <c r="G12966" s="34"/>
      <c r="H12966" s="4"/>
    </row>
    <row r="12967" spans="5:8" x14ac:dyDescent="0.25">
      <c r="E12967" s="34"/>
      <c r="G12967" s="34"/>
      <c r="H12967" s="4"/>
    </row>
    <row r="12968" spans="5:8" x14ac:dyDescent="0.25">
      <c r="E12968" s="34"/>
      <c r="G12968" s="34"/>
      <c r="H12968" s="4"/>
    </row>
    <row r="12969" spans="5:8" x14ac:dyDescent="0.25">
      <c r="E12969" s="34"/>
      <c r="G12969" s="34"/>
      <c r="H12969" s="4"/>
    </row>
    <row r="12970" spans="5:8" x14ac:dyDescent="0.25">
      <c r="E12970" s="34"/>
      <c r="G12970" s="34"/>
      <c r="H12970" s="4"/>
    </row>
    <row r="12971" spans="5:8" x14ac:dyDescent="0.25">
      <c r="E12971" s="34"/>
      <c r="G12971" s="34"/>
      <c r="H12971" s="4"/>
    </row>
    <row r="12972" spans="5:8" x14ac:dyDescent="0.25">
      <c r="E12972" s="34"/>
      <c r="G12972" s="34"/>
      <c r="H12972" s="4"/>
    </row>
    <row r="12973" spans="5:8" x14ac:dyDescent="0.25">
      <c r="E12973" s="34"/>
      <c r="G12973" s="34"/>
      <c r="H12973" s="4"/>
    </row>
    <row r="12974" spans="5:8" x14ac:dyDescent="0.25">
      <c r="E12974" s="34"/>
      <c r="G12974" s="34"/>
      <c r="H12974" s="4"/>
    </row>
    <row r="12975" spans="5:8" x14ac:dyDescent="0.25">
      <c r="E12975" s="34"/>
      <c r="G12975" s="34"/>
      <c r="H12975" s="4"/>
    </row>
    <row r="12976" spans="5:8" x14ac:dyDescent="0.25">
      <c r="E12976" s="34"/>
      <c r="G12976" s="34"/>
      <c r="H12976" s="4"/>
    </row>
    <row r="12977" spans="5:8" x14ac:dyDescent="0.25">
      <c r="E12977" s="34"/>
      <c r="G12977" s="34"/>
      <c r="H12977" s="4"/>
    </row>
    <row r="12978" spans="5:8" x14ac:dyDescent="0.25">
      <c r="E12978" s="34"/>
      <c r="G12978" s="34"/>
      <c r="H12978" s="4"/>
    </row>
    <row r="12979" spans="5:8" x14ac:dyDescent="0.25">
      <c r="E12979" s="34"/>
      <c r="G12979" s="34"/>
      <c r="H12979" s="4"/>
    </row>
    <row r="12980" spans="5:8" x14ac:dyDescent="0.25">
      <c r="E12980" s="34"/>
      <c r="G12980" s="34"/>
      <c r="H12980" s="4"/>
    </row>
    <row r="12981" spans="5:8" x14ac:dyDescent="0.25">
      <c r="E12981" s="34"/>
      <c r="G12981" s="34"/>
      <c r="H12981" s="4"/>
    </row>
    <row r="12982" spans="5:8" x14ac:dyDescent="0.25">
      <c r="E12982" s="34"/>
      <c r="G12982" s="34"/>
      <c r="H12982" s="4"/>
    </row>
    <row r="12983" spans="5:8" x14ac:dyDescent="0.25">
      <c r="E12983" s="34"/>
      <c r="G12983" s="34"/>
      <c r="H12983" s="4"/>
    </row>
    <row r="12984" spans="5:8" x14ac:dyDescent="0.25">
      <c r="E12984" s="34"/>
      <c r="G12984" s="34"/>
      <c r="H12984" s="4"/>
    </row>
    <row r="12985" spans="5:8" x14ac:dyDescent="0.25">
      <c r="E12985" s="34"/>
      <c r="G12985" s="34"/>
      <c r="H12985" s="4"/>
    </row>
    <row r="12986" spans="5:8" x14ac:dyDescent="0.25">
      <c r="E12986" s="34"/>
      <c r="G12986" s="34"/>
      <c r="H12986" s="4"/>
    </row>
    <row r="12987" spans="5:8" x14ac:dyDescent="0.25">
      <c r="E12987" s="34"/>
      <c r="G12987" s="34"/>
      <c r="H12987" s="4"/>
    </row>
    <row r="12988" spans="5:8" x14ac:dyDescent="0.25">
      <c r="E12988" s="34"/>
      <c r="G12988" s="34"/>
      <c r="H12988" s="4"/>
    </row>
    <row r="12989" spans="5:8" x14ac:dyDescent="0.25">
      <c r="E12989" s="34"/>
      <c r="G12989" s="34"/>
      <c r="H12989" s="4"/>
    </row>
    <row r="12990" spans="5:8" x14ac:dyDescent="0.25">
      <c r="E12990" s="34"/>
      <c r="G12990" s="34"/>
      <c r="H12990" s="4"/>
    </row>
    <row r="12991" spans="5:8" x14ac:dyDescent="0.25">
      <c r="E12991" s="34"/>
      <c r="G12991" s="34"/>
      <c r="H12991" s="4"/>
    </row>
    <row r="12992" spans="5:8" x14ac:dyDescent="0.25">
      <c r="E12992" s="34"/>
      <c r="G12992" s="34"/>
      <c r="H12992" s="4"/>
    </row>
    <row r="12993" spans="5:8" x14ac:dyDescent="0.25">
      <c r="E12993" s="34"/>
      <c r="G12993" s="34"/>
      <c r="H12993" s="4"/>
    </row>
    <row r="12994" spans="5:8" x14ac:dyDescent="0.25">
      <c r="E12994" s="34"/>
      <c r="G12994" s="34"/>
      <c r="H12994" s="4"/>
    </row>
    <row r="12995" spans="5:8" x14ac:dyDescent="0.25">
      <c r="E12995" s="34"/>
      <c r="G12995" s="34"/>
      <c r="H12995" s="4"/>
    </row>
    <row r="12996" spans="5:8" x14ac:dyDescent="0.25">
      <c r="E12996" s="34"/>
      <c r="G12996" s="34"/>
      <c r="H12996" s="4"/>
    </row>
    <row r="12997" spans="5:8" x14ac:dyDescent="0.25">
      <c r="E12997" s="34"/>
      <c r="G12997" s="34"/>
      <c r="H12997" s="4"/>
    </row>
    <row r="12998" spans="5:8" x14ac:dyDescent="0.25">
      <c r="E12998" s="34"/>
      <c r="G12998" s="34"/>
      <c r="H12998" s="4"/>
    </row>
    <row r="12999" spans="5:8" x14ac:dyDescent="0.25">
      <c r="E12999" s="34"/>
      <c r="G12999" s="34"/>
      <c r="H12999" s="4"/>
    </row>
    <row r="13000" spans="5:8" x14ac:dyDescent="0.25">
      <c r="E13000" s="34"/>
      <c r="G13000" s="34"/>
      <c r="H13000" s="4"/>
    </row>
    <row r="13001" spans="5:8" x14ac:dyDescent="0.25">
      <c r="E13001" s="34"/>
      <c r="G13001" s="34"/>
      <c r="H13001" s="4"/>
    </row>
    <row r="13002" spans="5:8" x14ac:dyDescent="0.25">
      <c r="E13002" s="34"/>
      <c r="G13002" s="34"/>
      <c r="H13002" s="4"/>
    </row>
    <row r="13003" spans="5:8" x14ac:dyDescent="0.25">
      <c r="E13003" s="34"/>
      <c r="G13003" s="34"/>
      <c r="H13003" s="4"/>
    </row>
    <row r="13004" spans="5:8" x14ac:dyDescent="0.25">
      <c r="E13004" s="34"/>
      <c r="G13004" s="34"/>
      <c r="H13004" s="4"/>
    </row>
    <row r="13005" spans="5:8" x14ac:dyDescent="0.25">
      <c r="E13005" s="34"/>
      <c r="G13005" s="34"/>
      <c r="H13005" s="4"/>
    </row>
    <row r="13006" spans="5:8" x14ac:dyDescent="0.25">
      <c r="E13006" s="34"/>
      <c r="G13006" s="34"/>
      <c r="H13006" s="4"/>
    </row>
    <row r="13007" spans="5:8" x14ac:dyDescent="0.25">
      <c r="E13007" s="34"/>
      <c r="G13007" s="34"/>
      <c r="H13007" s="4"/>
    </row>
    <row r="13008" spans="5:8" x14ac:dyDescent="0.25">
      <c r="E13008" s="34"/>
      <c r="G13008" s="34"/>
      <c r="H13008" s="4"/>
    </row>
    <row r="13009" spans="5:8" x14ac:dyDescent="0.25">
      <c r="E13009" s="34"/>
      <c r="G13009" s="34"/>
      <c r="H13009" s="4"/>
    </row>
    <row r="13010" spans="5:8" x14ac:dyDescent="0.25">
      <c r="E13010" s="34"/>
      <c r="G13010" s="34"/>
      <c r="H13010" s="4"/>
    </row>
    <row r="13011" spans="5:8" x14ac:dyDescent="0.25">
      <c r="E13011" s="34"/>
      <c r="G13011" s="34"/>
      <c r="H13011" s="4"/>
    </row>
    <row r="13012" spans="5:8" x14ac:dyDescent="0.25">
      <c r="E13012" s="34"/>
      <c r="G13012" s="34"/>
      <c r="H13012" s="4"/>
    </row>
    <row r="13013" spans="5:8" x14ac:dyDescent="0.25">
      <c r="E13013" s="34"/>
      <c r="G13013" s="34"/>
      <c r="H13013" s="4"/>
    </row>
    <row r="13014" spans="5:8" x14ac:dyDescent="0.25">
      <c r="E13014" s="34"/>
      <c r="G13014" s="34"/>
      <c r="H13014" s="4"/>
    </row>
    <row r="13015" spans="5:8" x14ac:dyDescent="0.25">
      <c r="E13015" s="34"/>
      <c r="G13015" s="34"/>
      <c r="H13015" s="4"/>
    </row>
    <row r="13016" spans="5:8" x14ac:dyDescent="0.25">
      <c r="E13016" s="34"/>
      <c r="G13016" s="34"/>
      <c r="H13016" s="4"/>
    </row>
    <row r="13017" spans="5:8" x14ac:dyDescent="0.25">
      <c r="E13017" s="34"/>
      <c r="G13017" s="34"/>
      <c r="H13017" s="4"/>
    </row>
    <row r="13018" spans="5:8" x14ac:dyDescent="0.25">
      <c r="E13018" s="34"/>
      <c r="G13018" s="34"/>
      <c r="H13018" s="4"/>
    </row>
    <row r="13019" spans="5:8" x14ac:dyDescent="0.25">
      <c r="E13019" s="34"/>
      <c r="G13019" s="34"/>
      <c r="H13019" s="4"/>
    </row>
    <row r="13020" spans="5:8" x14ac:dyDescent="0.25">
      <c r="E13020" s="34"/>
      <c r="G13020" s="34"/>
      <c r="H13020" s="4"/>
    </row>
    <row r="13021" spans="5:8" x14ac:dyDescent="0.25">
      <c r="E13021" s="34"/>
      <c r="G13021" s="34"/>
      <c r="H13021" s="4"/>
    </row>
    <row r="13022" spans="5:8" x14ac:dyDescent="0.25">
      <c r="E13022" s="34"/>
      <c r="G13022" s="34"/>
      <c r="H13022" s="4"/>
    </row>
    <row r="13023" spans="5:8" x14ac:dyDescent="0.25">
      <c r="E13023" s="34"/>
      <c r="G13023" s="34"/>
      <c r="H13023" s="4"/>
    </row>
    <row r="13024" spans="5:8" x14ac:dyDescent="0.25">
      <c r="E13024" s="34"/>
      <c r="G13024" s="34"/>
      <c r="H13024" s="4"/>
    </row>
    <row r="13025" spans="5:8" x14ac:dyDescent="0.25">
      <c r="E13025" s="34"/>
      <c r="G13025" s="34"/>
      <c r="H13025" s="4"/>
    </row>
    <row r="13026" spans="5:8" x14ac:dyDescent="0.25">
      <c r="E13026" s="34"/>
      <c r="G13026" s="34"/>
      <c r="H13026" s="4"/>
    </row>
    <row r="13027" spans="5:8" x14ac:dyDescent="0.25">
      <c r="E13027" s="34"/>
      <c r="G13027" s="34"/>
      <c r="H13027" s="4"/>
    </row>
    <row r="13028" spans="5:8" x14ac:dyDescent="0.25">
      <c r="E13028" s="34"/>
      <c r="G13028" s="34"/>
      <c r="H13028" s="4"/>
    </row>
    <row r="13029" spans="5:8" x14ac:dyDescent="0.25">
      <c r="E13029" s="34"/>
      <c r="G13029" s="34"/>
      <c r="H13029" s="4"/>
    </row>
    <row r="13030" spans="5:8" x14ac:dyDescent="0.25">
      <c r="E13030" s="34"/>
      <c r="G13030" s="34"/>
      <c r="H13030" s="4"/>
    </row>
    <row r="13031" spans="5:8" x14ac:dyDescent="0.25">
      <c r="E13031" s="34"/>
      <c r="G13031" s="34"/>
      <c r="H13031" s="4"/>
    </row>
    <row r="13032" spans="5:8" x14ac:dyDescent="0.25">
      <c r="E13032" s="34"/>
      <c r="G13032" s="34"/>
      <c r="H13032" s="4"/>
    </row>
    <row r="13033" spans="5:8" x14ac:dyDescent="0.25">
      <c r="E13033" s="34"/>
      <c r="G13033" s="34"/>
      <c r="H13033" s="4"/>
    </row>
    <row r="13034" spans="5:8" x14ac:dyDescent="0.25">
      <c r="E13034" s="34"/>
      <c r="G13034" s="34"/>
      <c r="H13034" s="4"/>
    </row>
    <row r="13035" spans="5:8" x14ac:dyDescent="0.25">
      <c r="E13035" s="34"/>
      <c r="G13035" s="34"/>
      <c r="H13035" s="4"/>
    </row>
    <row r="13036" spans="5:8" x14ac:dyDescent="0.25">
      <c r="E13036" s="34"/>
      <c r="G13036" s="34"/>
      <c r="H13036" s="4"/>
    </row>
    <row r="13037" spans="5:8" x14ac:dyDescent="0.25">
      <c r="E13037" s="34"/>
      <c r="G13037" s="34"/>
      <c r="H13037" s="4"/>
    </row>
    <row r="13038" spans="5:8" x14ac:dyDescent="0.25">
      <c r="E13038" s="34"/>
      <c r="G13038" s="34"/>
      <c r="H13038" s="4"/>
    </row>
    <row r="13039" spans="5:8" x14ac:dyDescent="0.25">
      <c r="E13039" s="34"/>
      <c r="G13039" s="34"/>
      <c r="H13039" s="4"/>
    </row>
    <row r="13040" spans="5:8" x14ac:dyDescent="0.25">
      <c r="E13040" s="34"/>
      <c r="G13040" s="34"/>
      <c r="H13040" s="4"/>
    </row>
    <row r="13041" spans="5:8" x14ac:dyDescent="0.25">
      <c r="E13041" s="34"/>
      <c r="G13041" s="34"/>
      <c r="H13041" s="4"/>
    </row>
    <row r="13042" spans="5:8" x14ac:dyDescent="0.25">
      <c r="E13042" s="34"/>
      <c r="G13042" s="34"/>
      <c r="H13042" s="4"/>
    </row>
    <row r="13043" spans="5:8" x14ac:dyDescent="0.25">
      <c r="E13043" s="34"/>
      <c r="G13043" s="34"/>
      <c r="H13043" s="4"/>
    </row>
    <row r="13044" spans="5:8" x14ac:dyDescent="0.25">
      <c r="E13044" s="34"/>
      <c r="G13044" s="34"/>
      <c r="H13044" s="4"/>
    </row>
    <row r="13045" spans="5:8" x14ac:dyDescent="0.25">
      <c r="E13045" s="34"/>
      <c r="G13045" s="34"/>
      <c r="H13045" s="4"/>
    </row>
    <row r="13046" spans="5:8" x14ac:dyDescent="0.25">
      <c r="E13046" s="34"/>
      <c r="G13046" s="34"/>
      <c r="H13046" s="4"/>
    </row>
    <row r="13047" spans="5:8" x14ac:dyDescent="0.25">
      <c r="E13047" s="34"/>
      <c r="G13047" s="34"/>
      <c r="H13047" s="4"/>
    </row>
    <row r="13048" spans="5:8" x14ac:dyDescent="0.25">
      <c r="E13048" s="34"/>
      <c r="G13048" s="34"/>
      <c r="H13048" s="4"/>
    </row>
    <row r="13049" spans="5:8" x14ac:dyDescent="0.25">
      <c r="E13049" s="34"/>
      <c r="G13049" s="34"/>
      <c r="H13049" s="4"/>
    </row>
    <row r="13050" spans="5:8" x14ac:dyDescent="0.25">
      <c r="E13050" s="34"/>
      <c r="G13050" s="34"/>
      <c r="H13050" s="4"/>
    </row>
    <row r="13051" spans="5:8" x14ac:dyDescent="0.25">
      <c r="E13051" s="34"/>
      <c r="G13051" s="34"/>
      <c r="H13051" s="4"/>
    </row>
    <row r="13052" spans="5:8" x14ac:dyDescent="0.25">
      <c r="E13052" s="34"/>
      <c r="G13052" s="34"/>
      <c r="H13052" s="4"/>
    </row>
    <row r="13053" spans="5:8" x14ac:dyDescent="0.25">
      <c r="E13053" s="34"/>
      <c r="G13053" s="34"/>
      <c r="H13053" s="4"/>
    </row>
    <row r="13054" spans="5:8" x14ac:dyDescent="0.25">
      <c r="E13054" s="34"/>
      <c r="G13054" s="34"/>
      <c r="H13054" s="4"/>
    </row>
    <row r="13055" spans="5:8" x14ac:dyDescent="0.25">
      <c r="E13055" s="34"/>
      <c r="G13055" s="34"/>
      <c r="H13055" s="4"/>
    </row>
    <row r="13056" spans="5:8" x14ac:dyDescent="0.25">
      <c r="E13056" s="34"/>
      <c r="G13056" s="34"/>
      <c r="H13056" s="4"/>
    </row>
    <row r="13057" spans="5:8" x14ac:dyDescent="0.25">
      <c r="E13057" s="34"/>
      <c r="G13057" s="34"/>
      <c r="H13057" s="4"/>
    </row>
    <row r="13058" spans="5:8" x14ac:dyDescent="0.25">
      <c r="E13058" s="34"/>
      <c r="G13058" s="34"/>
      <c r="H13058" s="4"/>
    </row>
    <row r="13059" spans="5:8" x14ac:dyDescent="0.25">
      <c r="E13059" s="34"/>
      <c r="G13059" s="34"/>
      <c r="H13059" s="4"/>
    </row>
    <row r="13060" spans="5:8" x14ac:dyDescent="0.25">
      <c r="E13060" s="34"/>
      <c r="G13060" s="34"/>
      <c r="H13060" s="4"/>
    </row>
    <row r="13061" spans="5:8" x14ac:dyDescent="0.25">
      <c r="E13061" s="34"/>
      <c r="G13061" s="34"/>
      <c r="H13061" s="4"/>
    </row>
    <row r="13062" spans="5:8" x14ac:dyDescent="0.25">
      <c r="E13062" s="34"/>
      <c r="G13062" s="34"/>
      <c r="H13062" s="4"/>
    </row>
    <row r="13063" spans="5:8" x14ac:dyDescent="0.25">
      <c r="E13063" s="34"/>
      <c r="G13063" s="34"/>
      <c r="H13063" s="4"/>
    </row>
    <row r="13064" spans="5:8" x14ac:dyDescent="0.25">
      <c r="E13064" s="34"/>
      <c r="G13064" s="34"/>
      <c r="H13064" s="4"/>
    </row>
    <row r="13065" spans="5:8" x14ac:dyDescent="0.25">
      <c r="E13065" s="34"/>
      <c r="G13065" s="34"/>
      <c r="H13065" s="4"/>
    </row>
    <row r="13066" spans="5:8" x14ac:dyDescent="0.25">
      <c r="E13066" s="34"/>
      <c r="G13066" s="34"/>
      <c r="H13066" s="4"/>
    </row>
    <row r="13067" spans="5:8" x14ac:dyDescent="0.25">
      <c r="E13067" s="34"/>
      <c r="G13067" s="34"/>
      <c r="H13067" s="4"/>
    </row>
    <row r="13068" spans="5:8" x14ac:dyDescent="0.25">
      <c r="E13068" s="34"/>
      <c r="G13068" s="34"/>
      <c r="H13068" s="4"/>
    </row>
    <row r="13069" spans="5:8" x14ac:dyDescent="0.25">
      <c r="E13069" s="34"/>
      <c r="G13069" s="34"/>
      <c r="H13069" s="4"/>
    </row>
    <row r="13070" spans="5:8" x14ac:dyDescent="0.25">
      <c r="E13070" s="34"/>
      <c r="G13070" s="34"/>
      <c r="H13070" s="4"/>
    </row>
    <row r="13071" spans="5:8" x14ac:dyDescent="0.25">
      <c r="E13071" s="34"/>
      <c r="G13071" s="34"/>
      <c r="H13071" s="4"/>
    </row>
    <row r="13072" spans="5:8" x14ac:dyDescent="0.25">
      <c r="E13072" s="34"/>
      <c r="G13072" s="34"/>
      <c r="H13072" s="4"/>
    </row>
    <row r="13073" spans="5:8" x14ac:dyDescent="0.25">
      <c r="E13073" s="34"/>
      <c r="G13073" s="34"/>
      <c r="H13073" s="4"/>
    </row>
    <row r="13074" spans="5:8" x14ac:dyDescent="0.25">
      <c r="E13074" s="34"/>
      <c r="G13074" s="34"/>
      <c r="H13074" s="4"/>
    </row>
    <row r="13075" spans="5:8" x14ac:dyDescent="0.25">
      <c r="E13075" s="34"/>
      <c r="G13075" s="34"/>
      <c r="H13075" s="4"/>
    </row>
    <row r="13076" spans="5:8" x14ac:dyDescent="0.25">
      <c r="E13076" s="34"/>
      <c r="G13076" s="34"/>
      <c r="H13076" s="4"/>
    </row>
    <row r="13077" spans="5:8" x14ac:dyDescent="0.25">
      <c r="E13077" s="34"/>
      <c r="G13077" s="34"/>
      <c r="H13077" s="4"/>
    </row>
    <row r="13078" spans="5:8" x14ac:dyDescent="0.25">
      <c r="E13078" s="34"/>
      <c r="G13078" s="34"/>
      <c r="H13078" s="4"/>
    </row>
    <row r="13079" spans="5:8" x14ac:dyDescent="0.25">
      <c r="E13079" s="34"/>
      <c r="G13079" s="34"/>
      <c r="H13079" s="4"/>
    </row>
    <row r="13080" spans="5:8" x14ac:dyDescent="0.25">
      <c r="E13080" s="34"/>
      <c r="G13080" s="34"/>
      <c r="H13080" s="4"/>
    </row>
    <row r="13081" spans="5:8" x14ac:dyDescent="0.25">
      <c r="E13081" s="34"/>
      <c r="G13081" s="34"/>
      <c r="H13081" s="4"/>
    </row>
    <row r="13082" spans="5:8" x14ac:dyDescent="0.25">
      <c r="E13082" s="34"/>
      <c r="G13082" s="34"/>
      <c r="H13082" s="4"/>
    </row>
    <row r="13083" spans="5:8" x14ac:dyDescent="0.25">
      <c r="E13083" s="34"/>
      <c r="G13083" s="34"/>
      <c r="H13083" s="4"/>
    </row>
    <row r="13084" spans="5:8" x14ac:dyDescent="0.25">
      <c r="E13084" s="34"/>
      <c r="G13084" s="34"/>
      <c r="H13084" s="4"/>
    </row>
    <row r="13085" spans="5:8" x14ac:dyDescent="0.25">
      <c r="E13085" s="34"/>
      <c r="G13085" s="34"/>
      <c r="H13085" s="4"/>
    </row>
    <row r="13086" spans="5:8" x14ac:dyDescent="0.25">
      <c r="E13086" s="34"/>
      <c r="G13086" s="34"/>
      <c r="H13086" s="4"/>
    </row>
    <row r="13087" spans="5:8" x14ac:dyDescent="0.25">
      <c r="E13087" s="34"/>
      <c r="G13087" s="34"/>
      <c r="H13087" s="4"/>
    </row>
    <row r="13088" spans="5:8" x14ac:dyDescent="0.25">
      <c r="E13088" s="34"/>
      <c r="G13088" s="34"/>
      <c r="H13088" s="4"/>
    </row>
    <row r="13089" spans="5:8" x14ac:dyDescent="0.25">
      <c r="E13089" s="34"/>
      <c r="G13089" s="34"/>
      <c r="H13089" s="4"/>
    </row>
    <row r="13090" spans="5:8" x14ac:dyDescent="0.25">
      <c r="E13090" s="34"/>
      <c r="G13090" s="34"/>
      <c r="H13090" s="4"/>
    </row>
    <row r="13091" spans="5:8" x14ac:dyDescent="0.25">
      <c r="E13091" s="34"/>
      <c r="G13091" s="34"/>
      <c r="H13091" s="4"/>
    </row>
    <row r="13092" spans="5:8" x14ac:dyDescent="0.25">
      <c r="E13092" s="34"/>
      <c r="G13092" s="34"/>
      <c r="H13092" s="4"/>
    </row>
    <row r="13093" spans="5:8" x14ac:dyDescent="0.25">
      <c r="E13093" s="34"/>
      <c r="G13093" s="34"/>
      <c r="H13093" s="4"/>
    </row>
    <row r="13094" spans="5:8" x14ac:dyDescent="0.25">
      <c r="E13094" s="34"/>
      <c r="G13094" s="34"/>
      <c r="H13094" s="4"/>
    </row>
    <row r="13095" spans="5:8" x14ac:dyDescent="0.25">
      <c r="E13095" s="34"/>
      <c r="G13095" s="34"/>
      <c r="H13095" s="4"/>
    </row>
    <row r="13096" spans="5:8" x14ac:dyDescent="0.25">
      <c r="E13096" s="34"/>
      <c r="G13096" s="34"/>
      <c r="H13096" s="4"/>
    </row>
    <row r="13097" spans="5:8" x14ac:dyDescent="0.25">
      <c r="E13097" s="34"/>
      <c r="G13097" s="34"/>
      <c r="H13097" s="4"/>
    </row>
    <row r="13098" spans="5:8" x14ac:dyDescent="0.25">
      <c r="E13098" s="34"/>
      <c r="G13098" s="34"/>
      <c r="H13098" s="4"/>
    </row>
    <row r="13099" spans="5:8" x14ac:dyDescent="0.25">
      <c r="E13099" s="34"/>
      <c r="G13099" s="34"/>
      <c r="H13099" s="4"/>
    </row>
    <row r="13100" spans="5:8" x14ac:dyDescent="0.25">
      <c r="E13100" s="34"/>
      <c r="G13100" s="34"/>
      <c r="H13100" s="4"/>
    </row>
    <row r="13101" spans="5:8" x14ac:dyDescent="0.25">
      <c r="E13101" s="34"/>
      <c r="G13101" s="34"/>
      <c r="H13101" s="4"/>
    </row>
    <row r="13102" spans="5:8" x14ac:dyDescent="0.25">
      <c r="E13102" s="34"/>
      <c r="G13102" s="34"/>
      <c r="H13102" s="4"/>
    </row>
    <row r="13103" spans="5:8" x14ac:dyDescent="0.25">
      <c r="E13103" s="34"/>
      <c r="G13103" s="34"/>
      <c r="H13103" s="4"/>
    </row>
    <row r="13104" spans="5:8" x14ac:dyDescent="0.25">
      <c r="E13104" s="34"/>
      <c r="G13104" s="34"/>
      <c r="H13104" s="4"/>
    </row>
    <row r="13105" spans="5:8" x14ac:dyDescent="0.25">
      <c r="E13105" s="34"/>
      <c r="G13105" s="34"/>
      <c r="H13105" s="4"/>
    </row>
    <row r="13106" spans="5:8" x14ac:dyDescent="0.25">
      <c r="E13106" s="34"/>
      <c r="G13106" s="34"/>
      <c r="H13106" s="4"/>
    </row>
    <row r="13107" spans="5:8" x14ac:dyDescent="0.25">
      <c r="E13107" s="34"/>
      <c r="G13107" s="34"/>
      <c r="H13107" s="4"/>
    </row>
    <row r="13108" spans="5:8" x14ac:dyDescent="0.25">
      <c r="E13108" s="34"/>
      <c r="G13108" s="34"/>
      <c r="H13108" s="4"/>
    </row>
    <row r="13109" spans="5:8" x14ac:dyDescent="0.25">
      <c r="E13109" s="34"/>
      <c r="G13109" s="34"/>
      <c r="H13109" s="4"/>
    </row>
    <row r="13110" spans="5:8" x14ac:dyDescent="0.25">
      <c r="E13110" s="34"/>
      <c r="G13110" s="34"/>
      <c r="H13110" s="4"/>
    </row>
    <row r="13111" spans="5:8" x14ac:dyDescent="0.25">
      <c r="E13111" s="34"/>
      <c r="G13111" s="34"/>
      <c r="H13111" s="4"/>
    </row>
    <row r="13112" spans="5:8" x14ac:dyDescent="0.25">
      <c r="E13112" s="34"/>
      <c r="G13112" s="34"/>
      <c r="H13112" s="4"/>
    </row>
    <row r="13113" spans="5:8" x14ac:dyDescent="0.25">
      <c r="E13113" s="34"/>
      <c r="G13113" s="34"/>
      <c r="H13113" s="4"/>
    </row>
    <row r="13114" spans="5:8" x14ac:dyDescent="0.25">
      <c r="E13114" s="34"/>
      <c r="G13114" s="34"/>
      <c r="H13114" s="4"/>
    </row>
    <row r="13115" spans="5:8" x14ac:dyDescent="0.25">
      <c r="E13115" s="34"/>
      <c r="G13115" s="34"/>
      <c r="H13115" s="4"/>
    </row>
    <row r="13116" spans="5:8" x14ac:dyDescent="0.25">
      <c r="E13116" s="34"/>
      <c r="G13116" s="34"/>
      <c r="H13116" s="4"/>
    </row>
    <row r="13117" spans="5:8" x14ac:dyDescent="0.25">
      <c r="E13117" s="34"/>
      <c r="G13117" s="34"/>
      <c r="H13117" s="4"/>
    </row>
    <row r="13118" spans="5:8" x14ac:dyDescent="0.25">
      <c r="E13118" s="34"/>
      <c r="G13118" s="34"/>
      <c r="H13118" s="4"/>
    </row>
    <row r="13119" spans="5:8" x14ac:dyDescent="0.25">
      <c r="E13119" s="34"/>
      <c r="G13119" s="34"/>
      <c r="H13119" s="4"/>
    </row>
    <row r="13120" spans="5:8" x14ac:dyDescent="0.25">
      <c r="E13120" s="34"/>
      <c r="G13120" s="34"/>
      <c r="H13120" s="4"/>
    </row>
    <row r="13121" spans="5:8" x14ac:dyDescent="0.25">
      <c r="E13121" s="34"/>
      <c r="G13121" s="34"/>
      <c r="H13121" s="4"/>
    </row>
    <row r="13122" spans="5:8" x14ac:dyDescent="0.25">
      <c r="E13122" s="34"/>
      <c r="G13122" s="34"/>
      <c r="H13122" s="4"/>
    </row>
    <row r="13123" spans="5:8" x14ac:dyDescent="0.25">
      <c r="E13123" s="34"/>
      <c r="G13123" s="34"/>
      <c r="H13123" s="4"/>
    </row>
    <row r="13124" spans="5:8" x14ac:dyDescent="0.25">
      <c r="E13124" s="34"/>
      <c r="G13124" s="34"/>
      <c r="H13124" s="4"/>
    </row>
    <row r="13125" spans="5:8" x14ac:dyDescent="0.25">
      <c r="E13125" s="34"/>
      <c r="G13125" s="34"/>
      <c r="H13125" s="4"/>
    </row>
    <row r="13126" spans="5:8" x14ac:dyDescent="0.25">
      <c r="E13126" s="34"/>
      <c r="G13126" s="34"/>
      <c r="H13126" s="4"/>
    </row>
    <row r="13127" spans="5:8" x14ac:dyDescent="0.25">
      <c r="E13127" s="34"/>
      <c r="G13127" s="34"/>
      <c r="H13127" s="4"/>
    </row>
    <row r="13128" spans="5:8" x14ac:dyDescent="0.25">
      <c r="E13128" s="34"/>
      <c r="G13128" s="34"/>
      <c r="H13128" s="4"/>
    </row>
    <row r="13129" spans="5:8" x14ac:dyDescent="0.25">
      <c r="E13129" s="34"/>
      <c r="G13129" s="34"/>
      <c r="H13129" s="4"/>
    </row>
    <row r="13130" spans="5:8" x14ac:dyDescent="0.25">
      <c r="E13130" s="34"/>
      <c r="G13130" s="34"/>
      <c r="H13130" s="4"/>
    </row>
    <row r="13131" spans="5:8" x14ac:dyDescent="0.25">
      <c r="E13131" s="34"/>
      <c r="G13131" s="34"/>
      <c r="H13131" s="4"/>
    </row>
    <row r="13132" spans="5:8" x14ac:dyDescent="0.25">
      <c r="E13132" s="34"/>
      <c r="G13132" s="34"/>
      <c r="H13132" s="4"/>
    </row>
    <row r="13133" spans="5:8" x14ac:dyDescent="0.25">
      <c r="E13133" s="34"/>
      <c r="G13133" s="34"/>
      <c r="H13133" s="4"/>
    </row>
    <row r="13134" spans="5:8" x14ac:dyDescent="0.25">
      <c r="E13134" s="34"/>
      <c r="G13134" s="34"/>
      <c r="H13134" s="4"/>
    </row>
    <row r="13135" spans="5:8" x14ac:dyDescent="0.25">
      <c r="E13135" s="34"/>
      <c r="G13135" s="34"/>
      <c r="H13135" s="4"/>
    </row>
    <row r="13136" spans="5:8" x14ac:dyDescent="0.25">
      <c r="E13136" s="34"/>
      <c r="G13136" s="34"/>
      <c r="H13136" s="4"/>
    </row>
    <row r="13137" spans="5:8" x14ac:dyDescent="0.25">
      <c r="E13137" s="34"/>
      <c r="G13137" s="34"/>
      <c r="H13137" s="4"/>
    </row>
    <row r="13138" spans="5:8" x14ac:dyDescent="0.25">
      <c r="E13138" s="34"/>
      <c r="G13138" s="34"/>
      <c r="H13138" s="4"/>
    </row>
    <row r="13139" spans="5:8" x14ac:dyDescent="0.25">
      <c r="E13139" s="34"/>
      <c r="G13139" s="34"/>
      <c r="H13139" s="4"/>
    </row>
    <row r="13140" spans="5:8" x14ac:dyDescent="0.25">
      <c r="E13140" s="34"/>
      <c r="G13140" s="34"/>
      <c r="H13140" s="4"/>
    </row>
    <row r="13141" spans="5:8" x14ac:dyDescent="0.25">
      <c r="E13141" s="34"/>
      <c r="G13141" s="34"/>
      <c r="H13141" s="4"/>
    </row>
    <row r="13142" spans="5:8" x14ac:dyDescent="0.25">
      <c r="E13142" s="34"/>
      <c r="G13142" s="34"/>
      <c r="H13142" s="4"/>
    </row>
    <row r="13143" spans="5:8" x14ac:dyDescent="0.25">
      <c r="E13143" s="34"/>
      <c r="G13143" s="34"/>
      <c r="H13143" s="4"/>
    </row>
    <row r="13144" spans="5:8" x14ac:dyDescent="0.25">
      <c r="E13144" s="34"/>
      <c r="G13144" s="34"/>
      <c r="H13144" s="4"/>
    </row>
    <row r="13145" spans="5:8" x14ac:dyDescent="0.25">
      <c r="E13145" s="34"/>
      <c r="G13145" s="34"/>
      <c r="H13145" s="4"/>
    </row>
    <row r="13146" spans="5:8" x14ac:dyDescent="0.25">
      <c r="E13146" s="34"/>
      <c r="G13146" s="34"/>
      <c r="H13146" s="4"/>
    </row>
    <row r="13147" spans="5:8" x14ac:dyDescent="0.25">
      <c r="E13147" s="34"/>
      <c r="G13147" s="34"/>
      <c r="H13147" s="4"/>
    </row>
    <row r="13148" spans="5:8" x14ac:dyDescent="0.25">
      <c r="E13148" s="34"/>
      <c r="G13148" s="34"/>
      <c r="H13148" s="4"/>
    </row>
    <row r="13149" spans="5:8" x14ac:dyDescent="0.25">
      <c r="E13149" s="34"/>
      <c r="G13149" s="34"/>
      <c r="H13149" s="4"/>
    </row>
    <row r="13150" spans="5:8" x14ac:dyDescent="0.25">
      <c r="E13150" s="34"/>
      <c r="G13150" s="34"/>
      <c r="H13150" s="4"/>
    </row>
    <row r="13151" spans="5:8" x14ac:dyDescent="0.25">
      <c r="E13151" s="34"/>
      <c r="G13151" s="34"/>
      <c r="H13151" s="4"/>
    </row>
    <row r="13152" spans="5:8" x14ac:dyDescent="0.25">
      <c r="E13152" s="34"/>
      <c r="G13152" s="34"/>
      <c r="H13152" s="4"/>
    </row>
    <row r="13153" spans="5:8" x14ac:dyDescent="0.25">
      <c r="E13153" s="34"/>
      <c r="G13153" s="34"/>
      <c r="H13153" s="4"/>
    </row>
    <row r="13154" spans="5:8" x14ac:dyDescent="0.25">
      <c r="E13154" s="34"/>
      <c r="G13154" s="34"/>
      <c r="H13154" s="4"/>
    </row>
    <row r="13155" spans="5:8" x14ac:dyDescent="0.25">
      <c r="E13155" s="34"/>
      <c r="G13155" s="34"/>
      <c r="H13155" s="4"/>
    </row>
    <row r="13156" spans="5:8" x14ac:dyDescent="0.25">
      <c r="E13156" s="34"/>
      <c r="G13156" s="34"/>
      <c r="H13156" s="4"/>
    </row>
    <row r="13157" spans="5:8" x14ac:dyDescent="0.25">
      <c r="E13157" s="34"/>
      <c r="G13157" s="34"/>
      <c r="H13157" s="4"/>
    </row>
    <row r="13158" spans="5:8" x14ac:dyDescent="0.25">
      <c r="E13158" s="34"/>
      <c r="G13158" s="34"/>
      <c r="H13158" s="4"/>
    </row>
    <row r="13159" spans="5:8" x14ac:dyDescent="0.25">
      <c r="E13159" s="34"/>
      <c r="G13159" s="34"/>
      <c r="H13159" s="4"/>
    </row>
    <row r="13160" spans="5:8" x14ac:dyDescent="0.25">
      <c r="E13160" s="34"/>
      <c r="G13160" s="34"/>
      <c r="H13160" s="4"/>
    </row>
    <row r="13161" spans="5:8" x14ac:dyDescent="0.25">
      <c r="E13161" s="34"/>
      <c r="G13161" s="34"/>
      <c r="H13161" s="4"/>
    </row>
    <row r="13162" spans="5:8" x14ac:dyDescent="0.25">
      <c r="E13162" s="34"/>
      <c r="G13162" s="34"/>
      <c r="H13162" s="4"/>
    </row>
    <row r="13163" spans="5:8" x14ac:dyDescent="0.25">
      <c r="E13163" s="34"/>
      <c r="G13163" s="34"/>
      <c r="H13163" s="4"/>
    </row>
    <row r="13164" spans="5:8" x14ac:dyDescent="0.25">
      <c r="E13164" s="34"/>
      <c r="G13164" s="34"/>
      <c r="H13164" s="4"/>
    </row>
    <row r="13165" spans="5:8" x14ac:dyDescent="0.25">
      <c r="E13165" s="34"/>
      <c r="G13165" s="34"/>
      <c r="H13165" s="4"/>
    </row>
    <row r="13166" spans="5:8" x14ac:dyDescent="0.25">
      <c r="E13166" s="34"/>
      <c r="G13166" s="34"/>
      <c r="H13166" s="4"/>
    </row>
    <row r="13167" spans="5:8" x14ac:dyDescent="0.25">
      <c r="E13167" s="34"/>
      <c r="G13167" s="34"/>
      <c r="H13167" s="4"/>
    </row>
    <row r="13168" spans="5:8" x14ac:dyDescent="0.25">
      <c r="E13168" s="34"/>
      <c r="G13168" s="34"/>
      <c r="H13168" s="4"/>
    </row>
    <row r="13169" spans="5:8" x14ac:dyDescent="0.25">
      <c r="E13169" s="34"/>
      <c r="G13169" s="34"/>
      <c r="H13169" s="4"/>
    </row>
    <row r="13170" spans="5:8" x14ac:dyDescent="0.25">
      <c r="E13170" s="34"/>
      <c r="G13170" s="34"/>
      <c r="H13170" s="4"/>
    </row>
    <row r="13171" spans="5:8" x14ac:dyDescent="0.25">
      <c r="E13171" s="34"/>
      <c r="G13171" s="34"/>
      <c r="H13171" s="4"/>
    </row>
    <row r="13172" spans="5:8" x14ac:dyDescent="0.25">
      <c r="E13172" s="34"/>
      <c r="G13172" s="34"/>
      <c r="H13172" s="4"/>
    </row>
    <row r="13173" spans="5:8" x14ac:dyDescent="0.25">
      <c r="E13173" s="34"/>
      <c r="G13173" s="34"/>
      <c r="H13173" s="4"/>
    </row>
    <row r="13174" spans="5:8" x14ac:dyDescent="0.25">
      <c r="E13174" s="34"/>
      <c r="G13174" s="34"/>
      <c r="H13174" s="4"/>
    </row>
    <row r="13175" spans="5:8" x14ac:dyDescent="0.25">
      <c r="E13175" s="34"/>
      <c r="G13175" s="34"/>
      <c r="H13175" s="4"/>
    </row>
    <row r="13176" spans="5:8" x14ac:dyDescent="0.25">
      <c r="E13176" s="34"/>
      <c r="G13176" s="34"/>
      <c r="H13176" s="4"/>
    </row>
    <row r="13177" spans="5:8" x14ac:dyDescent="0.25">
      <c r="E13177" s="34"/>
      <c r="G13177" s="34"/>
      <c r="H13177" s="4"/>
    </row>
    <row r="13178" spans="5:8" x14ac:dyDescent="0.25">
      <c r="E13178" s="34"/>
      <c r="G13178" s="34"/>
      <c r="H13178" s="4"/>
    </row>
    <row r="13179" spans="5:8" x14ac:dyDescent="0.25">
      <c r="E13179" s="34"/>
      <c r="G13179" s="34"/>
      <c r="H13179" s="4"/>
    </row>
    <row r="13180" spans="5:8" x14ac:dyDescent="0.25">
      <c r="E13180" s="34"/>
      <c r="G13180" s="34"/>
      <c r="H13180" s="4"/>
    </row>
    <row r="13181" spans="5:8" x14ac:dyDescent="0.25">
      <c r="E13181" s="34"/>
      <c r="G13181" s="34"/>
      <c r="H13181" s="4"/>
    </row>
    <row r="13182" spans="5:8" x14ac:dyDescent="0.25">
      <c r="E13182" s="34"/>
      <c r="G13182" s="34"/>
      <c r="H13182" s="4"/>
    </row>
    <row r="13183" spans="5:8" x14ac:dyDescent="0.25">
      <c r="E13183" s="34"/>
      <c r="G13183" s="34"/>
      <c r="H13183" s="4"/>
    </row>
    <row r="13184" spans="5:8" x14ac:dyDescent="0.25">
      <c r="E13184" s="34"/>
      <c r="G13184" s="34"/>
      <c r="H13184" s="4"/>
    </row>
    <row r="13185" spans="5:8" x14ac:dyDescent="0.25">
      <c r="E13185" s="34"/>
      <c r="G13185" s="34"/>
      <c r="H13185" s="4"/>
    </row>
    <row r="13186" spans="5:8" x14ac:dyDescent="0.25">
      <c r="E13186" s="34"/>
      <c r="G13186" s="34"/>
      <c r="H13186" s="4"/>
    </row>
    <row r="13187" spans="5:8" x14ac:dyDescent="0.25">
      <c r="E13187" s="34"/>
      <c r="G13187" s="34"/>
      <c r="H13187" s="4"/>
    </row>
    <row r="13188" spans="5:8" x14ac:dyDescent="0.25">
      <c r="E13188" s="34"/>
      <c r="G13188" s="34"/>
      <c r="H13188" s="4"/>
    </row>
    <row r="13189" spans="5:8" x14ac:dyDescent="0.25">
      <c r="E13189" s="34"/>
      <c r="G13189" s="34"/>
      <c r="H13189" s="4"/>
    </row>
    <row r="13190" spans="5:8" x14ac:dyDescent="0.25">
      <c r="E13190" s="34"/>
      <c r="G13190" s="34"/>
      <c r="H13190" s="4"/>
    </row>
    <row r="13191" spans="5:8" x14ac:dyDescent="0.25">
      <c r="E13191" s="34"/>
      <c r="G13191" s="34"/>
      <c r="H13191" s="4"/>
    </row>
    <row r="13192" spans="5:8" x14ac:dyDescent="0.25">
      <c r="E13192" s="34"/>
      <c r="G13192" s="34"/>
      <c r="H13192" s="4"/>
    </row>
    <row r="13193" spans="5:8" x14ac:dyDescent="0.25">
      <c r="E13193" s="34"/>
      <c r="G13193" s="34"/>
      <c r="H13193" s="4"/>
    </row>
    <row r="13194" spans="5:8" x14ac:dyDescent="0.25">
      <c r="E13194" s="34"/>
      <c r="G13194" s="34"/>
      <c r="H13194" s="4"/>
    </row>
    <row r="13195" spans="5:8" x14ac:dyDescent="0.25">
      <c r="E13195" s="34"/>
      <c r="G13195" s="34"/>
      <c r="H13195" s="4"/>
    </row>
    <row r="13196" spans="5:8" x14ac:dyDescent="0.25">
      <c r="E13196" s="34"/>
      <c r="G13196" s="34"/>
      <c r="H13196" s="4"/>
    </row>
    <row r="13197" spans="5:8" x14ac:dyDescent="0.25">
      <c r="E13197" s="34"/>
      <c r="G13197" s="34"/>
      <c r="H13197" s="4"/>
    </row>
    <row r="13198" spans="5:8" x14ac:dyDescent="0.25">
      <c r="E13198" s="34"/>
      <c r="G13198" s="34"/>
      <c r="H13198" s="4"/>
    </row>
    <row r="13199" spans="5:8" x14ac:dyDescent="0.25">
      <c r="E13199" s="34"/>
      <c r="G13199" s="34"/>
      <c r="H13199" s="4"/>
    </row>
    <row r="13200" spans="5:8" x14ac:dyDescent="0.25">
      <c r="E13200" s="34"/>
      <c r="G13200" s="34"/>
      <c r="H13200" s="4"/>
    </row>
    <row r="13201" spans="5:8" x14ac:dyDescent="0.25">
      <c r="E13201" s="34"/>
      <c r="G13201" s="34"/>
      <c r="H13201" s="4"/>
    </row>
    <row r="13202" spans="5:8" x14ac:dyDescent="0.25">
      <c r="E13202" s="34"/>
      <c r="G13202" s="34"/>
      <c r="H13202" s="4"/>
    </row>
    <row r="13203" spans="5:8" x14ac:dyDescent="0.25">
      <c r="E13203" s="34"/>
      <c r="G13203" s="34"/>
      <c r="H13203" s="4"/>
    </row>
    <row r="13204" spans="5:8" x14ac:dyDescent="0.25">
      <c r="E13204" s="34"/>
      <c r="G13204" s="34"/>
      <c r="H13204" s="4"/>
    </row>
    <row r="13205" spans="5:8" x14ac:dyDescent="0.25">
      <c r="E13205" s="34"/>
      <c r="G13205" s="34"/>
      <c r="H13205" s="4"/>
    </row>
    <row r="13206" spans="5:8" x14ac:dyDescent="0.25">
      <c r="E13206" s="34"/>
      <c r="G13206" s="34"/>
      <c r="H13206" s="4"/>
    </row>
    <row r="13207" spans="5:8" x14ac:dyDescent="0.25">
      <c r="E13207" s="34"/>
      <c r="G13207" s="34"/>
      <c r="H13207" s="4"/>
    </row>
    <row r="13208" spans="5:8" x14ac:dyDescent="0.25">
      <c r="E13208" s="34"/>
      <c r="G13208" s="34"/>
      <c r="H13208" s="4"/>
    </row>
    <row r="13209" spans="5:8" x14ac:dyDescent="0.25">
      <c r="E13209" s="34"/>
      <c r="G13209" s="34"/>
      <c r="H13209" s="4"/>
    </row>
    <row r="13210" spans="5:8" x14ac:dyDescent="0.25">
      <c r="E13210" s="34"/>
      <c r="G13210" s="34"/>
      <c r="H13210" s="4"/>
    </row>
    <row r="13211" spans="5:8" x14ac:dyDescent="0.25">
      <c r="E13211" s="34"/>
      <c r="G13211" s="34"/>
      <c r="H13211" s="4"/>
    </row>
    <row r="13212" spans="5:8" x14ac:dyDescent="0.25">
      <c r="E13212" s="34"/>
      <c r="G13212" s="34"/>
      <c r="H13212" s="4"/>
    </row>
    <row r="13213" spans="5:8" x14ac:dyDescent="0.25">
      <c r="E13213" s="34"/>
      <c r="G13213" s="34"/>
      <c r="H13213" s="4"/>
    </row>
    <row r="13214" spans="5:8" x14ac:dyDescent="0.25">
      <c r="E13214" s="34"/>
      <c r="G13214" s="34"/>
      <c r="H13214" s="4"/>
    </row>
    <row r="13215" spans="5:8" x14ac:dyDescent="0.25">
      <c r="E13215" s="34"/>
      <c r="G13215" s="34"/>
      <c r="H13215" s="4"/>
    </row>
    <row r="13216" spans="5:8" x14ac:dyDescent="0.25">
      <c r="E13216" s="34"/>
      <c r="G13216" s="34"/>
      <c r="H13216" s="4"/>
    </row>
    <row r="13217" spans="5:8" x14ac:dyDescent="0.25">
      <c r="E13217" s="34"/>
      <c r="G13217" s="34"/>
      <c r="H13217" s="4"/>
    </row>
    <row r="13218" spans="5:8" x14ac:dyDescent="0.25">
      <c r="E13218" s="34"/>
      <c r="G13218" s="34"/>
      <c r="H13218" s="4"/>
    </row>
    <row r="13219" spans="5:8" x14ac:dyDescent="0.25">
      <c r="E13219" s="34"/>
      <c r="G13219" s="34"/>
      <c r="H13219" s="4"/>
    </row>
    <row r="13220" spans="5:8" x14ac:dyDescent="0.25">
      <c r="E13220" s="34"/>
      <c r="G13220" s="34"/>
      <c r="H13220" s="4"/>
    </row>
    <row r="13221" spans="5:8" x14ac:dyDescent="0.25">
      <c r="E13221" s="34"/>
      <c r="G13221" s="34"/>
      <c r="H13221" s="4"/>
    </row>
    <row r="13222" spans="5:8" x14ac:dyDescent="0.25">
      <c r="E13222" s="34"/>
      <c r="G13222" s="34"/>
      <c r="H13222" s="4"/>
    </row>
    <row r="13223" spans="5:8" x14ac:dyDescent="0.25">
      <c r="E13223" s="34"/>
      <c r="G13223" s="34"/>
      <c r="H13223" s="4"/>
    </row>
    <row r="13224" spans="5:8" x14ac:dyDescent="0.25">
      <c r="E13224" s="34"/>
      <c r="G13224" s="34"/>
      <c r="H13224" s="4"/>
    </row>
    <row r="13225" spans="5:8" x14ac:dyDescent="0.25">
      <c r="E13225" s="34"/>
      <c r="G13225" s="34"/>
      <c r="H13225" s="4"/>
    </row>
    <row r="13226" spans="5:8" x14ac:dyDescent="0.25">
      <c r="E13226" s="34"/>
      <c r="G13226" s="34"/>
      <c r="H13226" s="4"/>
    </row>
    <row r="13227" spans="5:8" x14ac:dyDescent="0.25">
      <c r="E13227" s="34"/>
      <c r="G13227" s="34"/>
      <c r="H13227" s="4"/>
    </row>
    <row r="13228" spans="5:8" x14ac:dyDescent="0.25">
      <c r="E13228" s="34"/>
      <c r="G13228" s="34"/>
      <c r="H13228" s="4"/>
    </row>
    <row r="13229" spans="5:8" x14ac:dyDescent="0.25">
      <c r="E13229" s="34"/>
      <c r="G13229" s="34"/>
      <c r="H13229" s="4"/>
    </row>
    <row r="13230" spans="5:8" x14ac:dyDescent="0.25">
      <c r="E13230" s="34"/>
      <c r="G13230" s="34"/>
      <c r="H13230" s="4"/>
    </row>
    <row r="13231" spans="5:8" x14ac:dyDescent="0.25">
      <c r="E13231" s="34"/>
      <c r="G13231" s="34"/>
      <c r="H13231" s="4"/>
    </row>
    <row r="13232" spans="5:8" x14ac:dyDescent="0.25">
      <c r="E13232" s="34"/>
      <c r="G13232" s="34"/>
      <c r="H13232" s="4"/>
    </row>
    <row r="13233" spans="5:8" x14ac:dyDescent="0.25">
      <c r="E13233" s="34"/>
      <c r="G13233" s="34"/>
      <c r="H13233" s="4"/>
    </row>
    <row r="13234" spans="5:8" x14ac:dyDescent="0.25">
      <c r="E13234" s="34"/>
      <c r="G13234" s="34"/>
      <c r="H13234" s="4"/>
    </row>
    <row r="13235" spans="5:8" x14ac:dyDescent="0.25">
      <c r="E13235" s="34"/>
      <c r="G13235" s="34"/>
      <c r="H13235" s="4"/>
    </row>
    <row r="13236" spans="5:8" x14ac:dyDescent="0.25">
      <c r="E13236" s="34"/>
      <c r="G13236" s="34"/>
      <c r="H13236" s="4"/>
    </row>
    <row r="13237" spans="5:8" x14ac:dyDescent="0.25">
      <c r="E13237" s="34"/>
      <c r="G13237" s="34"/>
      <c r="H13237" s="4"/>
    </row>
    <row r="13238" spans="5:8" x14ac:dyDescent="0.25">
      <c r="E13238" s="34"/>
      <c r="G13238" s="34"/>
      <c r="H13238" s="4"/>
    </row>
    <row r="13239" spans="5:8" x14ac:dyDescent="0.25">
      <c r="E13239" s="34"/>
      <c r="G13239" s="34"/>
      <c r="H13239" s="4"/>
    </row>
    <row r="13240" spans="5:8" x14ac:dyDescent="0.25">
      <c r="E13240" s="34"/>
      <c r="G13240" s="34"/>
      <c r="H13240" s="4"/>
    </row>
    <row r="13241" spans="5:8" x14ac:dyDescent="0.25">
      <c r="E13241" s="34"/>
      <c r="G13241" s="34"/>
      <c r="H13241" s="4"/>
    </row>
    <row r="13242" spans="5:8" x14ac:dyDescent="0.25">
      <c r="E13242" s="34"/>
      <c r="G13242" s="34"/>
      <c r="H13242" s="4"/>
    </row>
    <row r="13243" spans="5:8" x14ac:dyDescent="0.25">
      <c r="E13243" s="34"/>
      <c r="G13243" s="34"/>
      <c r="H13243" s="4"/>
    </row>
    <row r="13244" spans="5:8" x14ac:dyDescent="0.25">
      <c r="E13244" s="34"/>
      <c r="G13244" s="34"/>
      <c r="H13244" s="4"/>
    </row>
    <row r="13245" spans="5:8" x14ac:dyDescent="0.25">
      <c r="E13245" s="34"/>
      <c r="G13245" s="34"/>
      <c r="H13245" s="4"/>
    </row>
    <row r="13246" spans="5:8" x14ac:dyDescent="0.25">
      <c r="E13246" s="34"/>
      <c r="G13246" s="34"/>
      <c r="H13246" s="4"/>
    </row>
    <row r="13247" spans="5:8" x14ac:dyDescent="0.25">
      <c r="E13247" s="34"/>
      <c r="G13247" s="34"/>
      <c r="H13247" s="4"/>
    </row>
    <row r="13248" spans="5:8" x14ac:dyDescent="0.25">
      <c r="E13248" s="34"/>
      <c r="G13248" s="34"/>
      <c r="H13248" s="4"/>
    </row>
    <row r="13249" spans="5:8" x14ac:dyDescent="0.25">
      <c r="E13249" s="34"/>
      <c r="G13249" s="34"/>
      <c r="H13249" s="4"/>
    </row>
    <row r="13250" spans="5:8" x14ac:dyDescent="0.25">
      <c r="E13250" s="34"/>
      <c r="G13250" s="34"/>
      <c r="H13250" s="4"/>
    </row>
    <row r="13251" spans="5:8" x14ac:dyDescent="0.25">
      <c r="E13251" s="34"/>
      <c r="G13251" s="34"/>
      <c r="H13251" s="4"/>
    </row>
    <row r="13252" spans="5:8" x14ac:dyDescent="0.25">
      <c r="E13252" s="34"/>
      <c r="G13252" s="34"/>
      <c r="H13252" s="4"/>
    </row>
    <row r="13253" spans="5:8" x14ac:dyDescent="0.25">
      <c r="E13253" s="34"/>
      <c r="G13253" s="34"/>
      <c r="H13253" s="4"/>
    </row>
    <row r="13254" spans="5:8" x14ac:dyDescent="0.25">
      <c r="E13254" s="34"/>
      <c r="G13254" s="34"/>
      <c r="H13254" s="4"/>
    </row>
    <row r="13255" spans="5:8" x14ac:dyDescent="0.25">
      <c r="E13255" s="34"/>
      <c r="G13255" s="34"/>
      <c r="H13255" s="4"/>
    </row>
    <row r="13256" spans="5:8" x14ac:dyDescent="0.25">
      <c r="E13256" s="34"/>
      <c r="G13256" s="34"/>
      <c r="H13256" s="4"/>
    </row>
    <row r="13257" spans="5:8" x14ac:dyDescent="0.25">
      <c r="E13257" s="34"/>
      <c r="G13257" s="34"/>
      <c r="H13257" s="4"/>
    </row>
    <row r="13258" spans="5:8" x14ac:dyDescent="0.25">
      <c r="E13258" s="34"/>
      <c r="G13258" s="34"/>
      <c r="H13258" s="4"/>
    </row>
    <row r="13259" spans="5:8" x14ac:dyDescent="0.25">
      <c r="E13259" s="34"/>
      <c r="G13259" s="34"/>
      <c r="H13259" s="4"/>
    </row>
    <row r="13260" spans="5:8" x14ac:dyDescent="0.25">
      <c r="E13260" s="34"/>
      <c r="G13260" s="34"/>
      <c r="H13260" s="4"/>
    </row>
    <row r="13261" spans="5:8" x14ac:dyDescent="0.25">
      <c r="E13261" s="34"/>
      <c r="G13261" s="34"/>
      <c r="H13261" s="4"/>
    </row>
    <row r="13262" spans="5:8" x14ac:dyDescent="0.25">
      <c r="E13262" s="34"/>
      <c r="G13262" s="34"/>
      <c r="H13262" s="4"/>
    </row>
    <row r="13263" spans="5:8" x14ac:dyDescent="0.25">
      <c r="E13263" s="34"/>
      <c r="G13263" s="34"/>
      <c r="H13263" s="4"/>
    </row>
    <row r="13264" spans="5:8" x14ac:dyDescent="0.25">
      <c r="E13264" s="34"/>
      <c r="G13264" s="34"/>
      <c r="H13264" s="4"/>
    </row>
    <row r="13265" spans="5:8" x14ac:dyDescent="0.25">
      <c r="E13265" s="34"/>
      <c r="G13265" s="34"/>
      <c r="H13265" s="4"/>
    </row>
    <row r="13266" spans="5:8" x14ac:dyDescent="0.25">
      <c r="E13266" s="34"/>
      <c r="G13266" s="34"/>
      <c r="H13266" s="4"/>
    </row>
    <row r="13267" spans="5:8" x14ac:dyDescent="0.25">
      <c r="E13267" s="34"/>
      <c r="G13267" s="34"/>
      <c r="H13267" s="4"/>
    </row>
    <row r="13268" spans="5:8" x14ac:dyDescent="0.25">
      <c r="E13268" s="34"/>
      <c r="G13268" s="34"/>
      <c r="H13268" s="4"/>
    </row>
    <row r="13269" spans="5:8" x14ac:dyDescent="0.25">
      <c r="E13269" s="34"/>
      <c r="G13269" s="34"/>
      <c r="H13269" s="4"/>
    </row>
    <row r="13270" spans="5:8" x14ac:dyDescent="0.25">
      <c r="E13270" s="34"/>
      <c r="G13270" s="34"/>
      <c r="H13270" s="4"/>
    </row>
    <row r="13271" spans="5:8" x14ac:dyDescent="0.25">
      <c r="E13271" s="34"/>
      <c r="G13271" s="34"/>
      <c r="H13271" s="4"/>
    </row>
    <row r="13272" spans="5:8" x14ac:dyDescent="0.25">
      <c r="E13272" s="34"/>
      <c r="G13272" s="34"/>
      <c r="H13272" s="4"/>
    </row>
    <row r="13273" spans="5:8" x14ac:dyDescent="0.25">
      <c r="E13273" s="34"/>
      <c r="G13273" s="34"/>
      <c r="H13273" s="4"/>
    </row>
    <row r="13274" spans="5:8" x14ac:dyDescent="0.25">
      <c r="E13274" s="34"/>
      <c r="G13274" s="34"/>
      <c r="H13274" s="4"/>
    </row>
    <row r="13275" spans="5:8" x14ac:dyDescent="0.25">
      <c r="E13275" s="34"/>
      <c r="G13275" s="34"/>
      <c r="H13275" s="4"/>
    </row>
    <row r="13276" spans="5:8" x14ac:dyDescent="0.25">
      <c r="E13276" s="34"/>
      <c r="G13276" s="34"/>
      <c r="H13276" s="4"/>
    </row>
    <row r="13277" spans="5:8" x14ac:dyDescent="0.25">
      <c r="E13277" s="34"/>
      <c r="G13277" s="34"/>
      <c r="H13277" s="4"/>
    </row>
    <row r="13278" spans="5:8" x14ac:dyDescent="0.25">
      <c r="E13278" s="34"/>
      <c r="G13278" s="34"/>
      <c r="H13278" s="4"/>
    </row>
    <row r="13279" spans="5:8" x14ac:dyDescent="0.25">
      <c r="E13279" s="34"/>
      <c r="G13279" s="34"/>
      <c r="H13279" s="4"/>
    </row>
    <row r="13280" spans="5:8" x14ac:dyDescent="0.25">
      <c r="E13280" s="34"/>
      <c r="G13280" s="34"/>
      <c r="H13280" s="4"/>
    </row>
    <row r="13281" spans="5:8" x14ac:dyDescent="0.25">
      <c r="E13281" s="34"/>
      <c r="G13281" s="34"/>
      <c r="H13281" s="4"/>
    </row>
    <row r="13282" spans="5:8" x14ac:dyDescent="0.25">
      <c r="E13282" s="34"/>
      <c r="G13282" s="34"/>
      <c r="H13282" s="4"/>
    </row>
    <row r="13283" spans="5:8" x14ac:dyDescent="0.25">
      <c r="E13283" s="34"/>
      <c r="G13283" s="34"/>
      <c r="H13283" s="4"/>
    </row>
    <row r="13284" spans="5:8" x14ac:dyDescent="0.25">
      <c r="E13284" s="34"/>
      <c r="G13284" s="34"/>
      <c r="H13284" s="4"/>
    </row>
    <row r="13285" spans="5:8" x14ac:dyDescent="0.25">
      <c r="E13285" s="34"/>
      <c r="G13285" s="34"/>
      <c r="H13285" s="4"/>
    </row>
    <row r="13286" spans="5:8" x14ac:dyDescent="0.25">
      <c r="E13286" s="34"/>
      <c r="G13286" s="34"/>
      <c r="H13286" s="4"/>
    </row>
    <row r="13287" spans="5:8" x14ac:dyDescent="0.25">
      <c r="E13287" s="34"/>
      <c r="G13287" s="34"/>
      <c r="H13287" s="4"/>
    </row>
    <row r="13288" spans="5:8" x14ac:dyDescent="0.25">
      <c r="E13288" s="34"/>
      <c r="G13288" s="34"/>
      <c r="H13288" s="4"/>
    </row>
    <row r="13289" spans="5:8" x14ac:dyDescent="0.25">
      <c r="E13289" s="34"/>
      <c r="G13289" s="34"/>
      <c r="H13289" s="4"/>
    </row>
    <row r="13290" spans="5:8" x14ac:dyDescent="0.25">
      <c r="E13290" s="34"/>
      <c r="G13290" s="34"/>
      <c r="H13290" s="4"/>
    </row>
    <row r="13291" spans="5:8" x14ac:dyDescent="0.25">
      <c r="E13291" s="34"/>
      <c r="G13291" s="34"/>
      <c r="H13291" s="4"/>
    </row>
    <row r="13292" spans="5:8" x14ac:dyDescent="0.25">
      <c r="E13292" s="34"/>
      <c r="G13292" s="34"/>
      <c r="H13292" s="4"/>
    </row>
    <row r="13293" spans="5:8" x14ac:dyDescent="0.25">
      <c r="E13293" s="34"/>
      <c r="G13293" s="34"/>
      <c r="H13293" s="4"/>
    </row>
    <row r="13294" spans="5:8" x14ac:dyDescent="0.25">
      <c r="E13294" s="34"/>
      <c r="G13294" s="34"/>
      <c r="H13294" s="4"/>
    </row>
    <row r="13295" spans="5:8" x14ac:dyDescent="0.25">
      <c r="E13295" s="34"/>
      <c r="G13295" s="34"/>
      <c r="H13295" s="4"/>
    </row>
    <row r="13296" spans="5:8" x14ac:dyDescent="0.25">
      <c r="E13296" s="34"/>
      <c r="G13296" s="34"/>
      <c r="H13296" s="4"/>
    </row>
    <row r="13297" spans="5:8" x14ac:dyDescent="0.25">
      <c r="E13297" s="34"/>
      <c r="G13297" s="34"/>
      <c r="H13297" s="4"/>
    </row>
    <row r="13298" spans="5:8" x14ac:dyDescent="0.25">
      <c r="E13298" s="34"/>
      <c r="G13298" s="34"/>
      <c r="H13298" s="4"/>
    </row>
    <row r="13299" spans="5:8" x14ac:dyDescent="0.25">
      <c r="E13299" s="34"/>
      <c r="G13299" s="34"/>
      <c r="H13299" s="4"/>
    </row>
    <row r="13300" spans="5:8" x14ac:dyDescent="0.25">
      <c r="E13300" s="34"/>
      <c r="G13300" s="34"/>
      <c r="H13300" s="4"/>
    </row>
    <row r="13301" spans="5:8" x14ac:dyDescent="0.25">
      <c r="E13301" s="34"/>
      <c r="G13301" s="34"/>
      <c r="H13301" s="4"/>
    </row>
    <row r="13302" spans="5:8" x14ac:dyDescent="0.25">
      <c r="E13302" s="34"/>
      <c r="G13302" s="34"/>
      <c r="H13302" s="4"/>
    </row>
    <row r="13303" spans="5:8" x14ac:dyDescent="0.25">
      <c r="E13303" s="34"/>
      <c r="G13303" s="34"/>
      <c r="H13303" s="4"/>
    </row>
    <row r="13304" spans="5:8" x14ac:dyDescent="0.25">
      <c r="E13304" s="34"/>
      <c r="G13304" s="34"/>
      <c r="H13304" s="4"/>
    </row>
    <row r="13305" spans="5:8" x14ac:dyDescent="0.25">
      <c r="E13305" s="34"/>
      <c r="G13305" s="34"/>
      <c r="H13305" s="4"/>
    </row>
    <row r="13306" spans="5:8" x14ac:dyDescent="0.25">
      <c r="E13306" s="34"/>
      <c r="G13306" s="34"/>
      <c r="H13306" s="4"/>
    </row>
    <row r="13307" spans="5:8" x14ac:dyDescent="0.25">
      <c r="E13307" s="34"/>
      <c r="G13307" s="34"/>
      <c r="H13307" s="4"/>
    </row>
    <row r="13308" spans="5:8" x14ac:dyDescent="0.25">
      <c r="E13308" s="34"/>
      <c r="G13308" s="34"/>
      <c r="H13308" s="4"/>
    </row>
    <row r="13309" spans="5:8" x14ac:dyDescent="0.25">
      <c r="E13309" s="34"/>
      <c r="G13309" s="34"/>
      <c r="H13309" s="4"/>
    </row>
    <row r="13310" spans="5:8" x14ac:dyDescent="0.25">
      <c r="E13310" s="34"/>
      <c r="G13310" s="34"/>
      <c r="H13310" s="4"/>
    </row>
    <row r="13311" spans="5:8" x14ac:dyDescent="0.25">
      <c r="E13311" s="34"/>
      <c r="G13311" s="34"/>
      <c r="H13311" s="4"/>
    </row>
    <row r="13312" spans="5:8" x14ac:dyDescent="0.25">
      <c r="E13312" s="34"/>
      <c r="G13312" s="34"/>
      <c r="H13312" s="4"/>
    </row>
    <row r="13313" spans="5:8" x14ac:dyDescent="0.25">
      <c r="E13313" s="34"/>
      <c r="G13313" s="34"/>
      <c r="H13313" s="4"/>
    </row>
    <row r="13314" spans="5:8" x14ac:dyDescent="0.25">
      <c r="E13314" s="34"/>
      <c r="G13314" s="34"/>
      <c r="H13314" s="4"/>
    </row>
    <row r="13315" spans="5:8" x14ac:dyDescent="0.25">
      <c r="E13315" s="34"/>
      <c r="G13315" s="34"/>
      <c r="H13315" s="4"/>
    </row>
    <row r="13316" spans="5:8" x14ac:dyDescent="0.25">
      <c r="E13316" s="34"/>
      <c r="G13316" s="34"/>
      <c r="H13316" s="4"/>
    </row>
    <row r="13317" spans="5:8" x14ac:dyDescent="0.25">
      <c r="E13317" s="34"/>
      <c r="G13317" s="34"/>
      <c r="H13317" s="4"/>
    </row>
    <row r="13318" spans="5:8" x14ac:dyDescent="0.25">
      <c r="E13318" s="34"/>
      <c r="G13318" s="34"/>
      <c r="H13318" s="4"/>
    </row>
    <row r="13319" spans="5:8" x14ac:dyDescent="0.25">
      <c r="E13319" s="34"/>
      <c r="G13319" s="34"/>
      <c r="H13319" s="4"/>
    </row>
    <row r="13320" spans="5:8" x14ac:dyDescent="0.25">
      <c r="E13320" s="34"/>
      <c r="G13320" s="34"/>
      <c r="H13320" s="4"/>
    </row>
    <row r="13321" spans="5:8" x14ac:dyDescent="0.25">
      <c r="E13321" s="34"/>
      <c r="G13321" s="34"/>
      <c r="H13321" s="4"/>
    </row>
    <row r="13322" spans="5:8" x14ac:dyDescent="0.25">
      <c r="E13322" s="34"/>
      <c r="G13322" s="34"/>
      <c r="H13322" s="4"/>
    </row>
    <row r="13323" spans="5:8" x14ac:dyDescent="0.25">
      <c r="E13323" s="34"/>
      <c r="G13323" s="34"/>
      <c r="H13323" s="4"/>
    </row>
    <row r="13324" spans="5:8" x14ac:dyDescent="0.25">
      <c r="E13324" s="34"/>
      <c r="G13324" s="34"/>
      <c r="H13324" s="4"/>
    </row>
    <row r="13325" spans="5:8" x14ac:dyDescent="0.25">
      <c r="E13325" s="34"/>
      <c r="G13325" s="34"/>
      <c r="H13325" s="4"/>
    </row>
    <row r="13326" spans="5:8" x14ac:dyDescent="0.25">
      <c r="E13326" s="34"/>
      <c r="G13326" s="34"/>
      <c r="H13326" s="4"/>
    </row>
    <row r="13327" spans="5:8" x14ac:dyDescent="0.25">
      <c r="E13327" s="34"/>
      <c r="G13327" s="34"/>
      <c r="H13327" s="4"/>
    </row>
    <row r="13328" spans="5:8" x14ac:dyDescent="0.25">
      <c r="E13328" s="34"/>
      <c r="G13328" s="34"/>
      <c r="H13328" s="4"/>
    </row>
    <row r="13329" spans="5:8" x14ac:dyDescent="0.25">
      <c r="E13329" s="34"/>
      <c r="G13329" s="34"/>
      <c r="H13329" s="4"/>
    </row>
    <row r="13330" spans="5:8" x14ac:dyDescent="0.25">
      <c r="E13330" s="34"/>
      <c r="G13330" s="34"/>
      <c r="H13330" s="4"/>
    </row>
    <row r="13331" spans="5:8" x14ac:dyDescent="0.25">
      <c r="E13331" s="34"/>
      <c r="G13331" s="34"/>
      <c r="H13331" s="4"/>
    </row>
    <row r="13332" spans="5:8" x14ac:dyDescent="0.25">
      <c r="E13332" s="34"/>
      <c r="G13332" s="34"/>
      <c r="H13332" s="4"/>
    </row>
    <row r="13333" spans="5:8" x14ac:dyDescent="0.25">
      <c r="E13333" s="34"/>
      <c r="G13333" s="34"/>
      <c r="H13333" s="4"/>
    </row>
    <row r="13334" spans="5:8" x14ac:dyDescent="0.25">
      <c r="E13334" s="34"/>
      <c r="G13334" s="34"/>
      <c r="H13334" s="4"/>
    </row>
    <row r="13335" spans="5:8" x14ac:dyDescent="0.25">
      <c r="E13335" s="34"/>
      <c r="G13335" s="34"/>
      <c r="H13335" s="4"/>
    </row>
    <row r="13336" spans="5:8" x14ac:dyDescent="0.25">
      <c r="E13336" s="34"/>
      <c r="G13336" s="34"/>
      <c r="H13336" s="4"/>
    </row>
    <row r="13337" spans="5:8" x14ac:dyDescent="0.25">
      <c r="E13337" s="34"/>
      <c r="G13337" s="34"/>
      <c r="H13337" s="4"/>
    </row>
    <row r="13338" spans="5:8" x14ac:dyDescent="0.25">
      <c r="E13338" s="34"/>
      <c r="G13338" s="34"/>
      <c r="H13338" s="4"/>
    </row>
    <row r="13339" spans="5:8" x14ac:dyDescent="0.25">
      <c r="E13339" s="34"/>
      <c r="G13339" s="34"/>
      <c r="H13339" s="4"/>
    </row>
    <row r="13340" spans="5:8" x14ac:dyDescent="0.25">
      <c r="E13340" s="34"/>
      <c r="G13340" s="34"/>
      <c r="H13340" s="4"/>
    </row>
    <row r="13341" spans="5:8" x14ac:dyDescent="0.25">
      <c r="E13341" s="34"/>
      <c r="G13341" s="34"/>
      <c r="H13341" s="4"/>
    </row>
    <row r="13342" spans="5:8" x14ac:dyDescent="0.25">
      <c r="E13342" s="34"/>
      <c r="G13342" s="34"/>
      <c r="H13342" s="4"/>
    </row>
    <row r="13343" spans="5:8" x14ac:dyDescent="0.25">
      <c r="E13343" s="34"/>
      <c r="G13343" s="34"/>
      <c r="H13343" s="4"/>
    </row>
    <row r="13344" spans="5:8" x14ac:dyDescent="0.25">
      <c r="E13344" s="34"/>
      <c r="G13344" s="34"/>
      <c r="H13344" s="4"/>
    </row>
    <row r="13345" spans="5:8" x14ac:dyDescent="0.25">
      <c r="E13345" s="34"/>
      <c r="G13345" s="34"/>
      <c r="H13345" s="4"/>
    </row>
    <row r="13346" spans="5:8" x14ac:dyDescent="0.25">
      <c r="E13346" s="34"/>
      <c r="G13346" s="34"/>
      <c r="H13346" s="4"/>
    </row>
    <row r="13347" spans="5:8" x14ac:dyDescent="0.25">
      <c r="E13347" s="34"/>
      <c r="G13347" s="34"/>
      <c r="H13347" s="4"/>
    </row>
    <row r="13348" spans="5:8" x14ac:dyDescent="0.25">
      <c r="E13348" s="34"/>
      <c r="G13348" s="34"/>
      <c r="H13348" s="4"/>
    </row>
    <row r="13349" spans="5:8" x14ac:dyDescent="0.25">
      <c r="E13349" s="34"/>
      <c r="G13349" s="34"/>
      <c r="H13349" s="4"/>
    </row>
    <row r="13350" spans="5:8" x14ac:dyDescent="0.25">
      <c r="E13350" s="34"/>
      <c r="G13350" s="34"/>
      <c r="H13350" s="4"/>
    </row>
    <row r="13351" spans="5:8" x14ac:dyDescent="0.25">
      <c r="E13351" s="34"/>
      <c r="G13351" s="34"/>
      <c r="H13351" s="4"/>
    </row>
    <row r="13352" spans="5:8" x14ac:dyDescent="0.25">
      <c r="E13352" s="34"/>
      <c r="G13352" s="34"/>
      <c r="H13352" s="4"/>
    </row>
    <row r="13353" spans="5:8" x14ac:dyDescent="0.25">
      <c r="E13353" s="34"/>
      <c r="G13353" s="34"/>
      <c r="H13353" s="4"/>
    </row>
    <row r="13354" spans="5:8" x14ac:dyDescent="0.25">
      <c r="E13354" s="34"/>
      <c r="G13354" s="34"/>
      <c r="H13354" s="4"/>
    </row>
    <row r="13355" spans="5:8" x14ac:dyDescent="0.25">
      <c r="E13355" s="34"/>
      <c r="G13355" s="34"/>
      <c r="H13355" s="4"/>
    </row>
    <row r="13356" spans="5:8" x14ac:dyDescent="0.25">
      <c r="E13356" s="34"/>
      <c r="G13356" s="34"/>
      <c r="H13356" s="4"/>
    </row>
    <row r="13357" spans="5:8" x14ac:dyDescent="0.25">
      <c r="E13357" s="34"/>
      <c r="G13357" s="34"/>
      <c r="H13357" s="4"/>
    </row>
    <row r="13358" spans="5:8" x14ac:dyDescent="0.25">
      <c r="E13358" s="34"/>
      <c r="G13358" s="34"/>
      <c r="H13358" s="4"/>
    </row>
    <row r="13359" spans="5:8" x14ac:dyDescent="0.25">
      <c r="E13359" s="34"/>
      <c r="G13359" s="34"/>
      <c r="H13359" s="4"/>
    </row>
    <row r="13360" spans="5:8" x14ac:dyDescent="0.25">
      <c r="E13360" s="34"/>
      <c r="G13360" s="34"/>
      <c r="H13360" s="4"/>
    </row>
    <row r="13361" spans="5:8" x14ac:dyDescent="0.25">
      <c r="E13361" s="34"/>
      <c r="G13361" s="34"/>
      <c r="H13361" s="4"/>
    </row>
    <row r="13362" spans="5:8" x14ac:dyDescent="0.25">
      <c r="E13362" s="34"/>
      <c r="G13362" s="34"/>
      <c r="H13362" s="4"/>
    </row>
    <row r="13363" spans="5:8" x14ac:dyDescent="0.25">
      <c r="E13363" s="34"/>
      <c r="G13363" s="34"/>
      <c r="H13363" s="4"/>
    </row>
    <row r="13364" spans="5:8" x14ac:dyDescent="0.25">
      <c r="E13364" s="34"/>
      <c r="G13364" s="34"/>
      <c r="H13364" s="4"/>
    </row>
    <row r="13365" spans="5:8" x14ac:dyDescent="0.25">
      <c r="E13365" s="34"/>
      <c r="G13365" s="34"/>
      <c r="H13365" s="4"/>
    </row>
    <row r="13366" spans="5:8" x14ac:dyDescent="0.25">
      <c r="E13366" s="34"/>
      <c r="G13366" s="34"/>
      <c r="H13366" s="4"/>
    </row>
    <row r="13367" spans="5:8" x14ac:dyDescent="0.25">
      <c r="E13367" s="34"/>
      <c r="G13367" s="34"/>
      <c r="H13367" s="4"/>
    </row>
    <row r="13368" spans="5:8" x14ac:dyDescent="0.25">
      <c r="E13368" s="34"/>
      <c r="G13368" s="34"/>
      <c r="H13368" s="4"/>
    </row>
    <row r="13369" spans="5:8" x14ac:dyDescent="0.25">
      <c r="E13369" s="34"/>
      <c r="G13369" s="34"/>
      <c r="H13369" s="4"/>
    </row>
    <row r="13370" spans="5:8" x14ac:dyDescent="0.25">
      <c r="E13370" s="34"/>
      <c r="G13370" s="34"/>
      <c r="H13370" s="4"/>
    </row>
    <row r="13371" spans="5:8" x14ac:dyDescent="0.25">
      <c r="E13371" s="34"/>
      <c r="G13371" s="34"/>
      <c r="H13371" s="4"/>
    </row>
    <row r="13372" spans="5:8" x14ac:dyDescent="0.25">
      <c r="E13372" s="34"/>
      <c r="G13372" s="34"/>
      <c r="H13372" s="4"/>
    </row>
    <row r="13373" spans="5:8" x14ac:dyDescent="0.25">
      <c r="E13373" s="34"/>
      <c r="G13373" s="34"/>
      <c r="H13373" s="4"/>
    </row>
    <row r="13374" spans="5:8" x14ac:dyDescent="0.25">
      <c r="E13374" s="34"/>
      <c r="G13374" s="34"/>
      <c r="H13374" s="4"/>
    </row>
    <row r="13375" spans="5:8" x14ac:dyDescent="0.25">
      <c r="E13375" s="34"/>
      <c r="G13375" s="34"/>
      <c r="H13375" s="4"/>
    </row>
    <row r="13376" spans="5:8" x14ac:dyDescent="0.25">
      <c r="E13376" s="34"/>
      <c r="G13376" s="34"/>
      <c r="H13376" s="4"/>
    </row>
    <row r="13377" spans="5:8" x14ac:dyDescent="0.25">
      <c r="E13377" s="34"/>
      <c r="G13377" s="34"/>
      <c r="H13377" s="4"/>
    </row>
    <row r="13378" spans="5:8" x14ac:dyDescent="0.25">
      <c r="E13378" s="34"/>
      <c r="G13378" s="34"/>
      <c r="H13378" s="4"/>
    </row>
    <row r="13379" spans="5:8" x14ac:dyDescent="0.25">
      <c r="E13379" s="34"/>
      <c r="G13379" s="34"/>
      <c r="H13379" s="4"/>
    </row>
    <row r="13380" spans="5:8" x14ac:dyDescent="0.25">
      <c r="E13380" s="34"/>
      <c r="G13380" s="34"/>
      <c r="H13380" s="4"/>
    </row>
    <row r="13381" spans="5:8" x14ac:dyDescent="0.25">
      <c r="E13381" s="34"/>
      <c r="G13381" s="34"/>
      <c r="H13381" s="4"/>
    </row>
    <row r="13382" spans="5:8" x14ac:dyDescent="0.25">
      <c r="E13382" s="34"/>
      <c r="G13382" s="34"/>
      <c r="H13382" s="4"/>
    </row>
    <row r="13383" spans="5:8" x14ac:dyDescent="0.25">
      <c r="E13383" s="34"/>
      <c r="G13383" s="34"/>
      <c r="H13383" s="4"/>
    </row>
    <row r="13384" spans="5:8" x14ac:dyDescent="0.25">
      <c r="E13384" s="34"/>
      <c r="G13384" s="34"/>
      <c r="H13384" s="4"/>
    </row>
    <row r="13385" spans="5:8" x14ac:dyDescent="0.25">
      <c r="E13385" s="34"/>
      <c r="G13385" s="34"/>
      <c r="H13385" s="4"/>
    </row>
    <row r="13386" spans="5:8" x14ac:dyDescent="0.25">
      <c r="E13386" s="34"/>
      <c r="G13386" s="34"/>
      <c r="H13386" s="4"/>
    </row>
    <row r="13387" spans="5:8" x14ac:dyDescent="0.25">
      <c r="E13387" s="34"/>
      <c r="G13387" s="34"/>
      <c r="H13387" s="4"/>
    </row>
    <row r="13388" spans="5:8" x14ac:dyDescent="0.25">
      <c r="E13388" s="34"/>
      <c r="G13388" s="34"/>
      <c r="H13388" s="4"/>
    </row>
    <row r="13389" spans="5:8" x14ac:dyDescent="0.25">
      <c r="E13389" s="34"/>
      <c r="G13389" s="34"/>
      <c r="H13389" s="4"/>
    </row>
    <row r="13390" spans="5:8" x14ac:dyDescent="0.25">
      <c r="E13390" s="34"/>
      <c r="G13390" s="34"/>
      <c r="H13390" s="4"/>
    </row>
    <row r="13391" spans="5:8" x14ac:dyDescent="0.25">
      <c r="E13391" s="34"/>
      <c r="G13391" s="34"/>
      <c r="H13391" s="4"/>
    </row>
    <row r="13392" spans="5:8" x14ac:dyDescent="0.25">
      <c r="E13392" s="34"/>
      <c r="G13392" s="34"/>
      <c r="H13392" s="4"/>
    </row>
    <row r="13393" spans="5:8" x14ac:dyDescent="0.25">
      <c r="E13393" s="34"/>
      <c r="G13393" s="34"/>
      <c r="H13393" s="4"/>
    </row>
    <row r="13394" spans="5:8" x14ac:dyDescent="0.25">
      <c r="E13394" s="34"/>
      <c r="G13394" s="34"/>
      <c r="H13394" s="4"/>
    </row>
    <row r="13395" spans="5:8" x14ac:dyDescent="0.25">
      <c r="E13395" s="34"/>
      <c r="G13395" s="34"/>
      <c r="H13395" s="4"/>
    </row>
    <row r="13396" spans="5:8" x14ac:dyDescent="0.25">
      <c r="E13396" s="34"/>
      <c r="G13396" s="34"/>
      <c r="H13396" s="4"/>
    </row>
    <row r="13397" spans="5:8" x14ac:dyDescent="0.25">
      <c r="E13397" s="34"/>
      <c r="G13397" s="34"/>
      <c r="H13397" s="4"/>
    </row>
    <row r="13398" spans="5:8" x14ac:dyDescent="0.25">
      <c r="E13398" s="34"/>
      <c r="G13398" s="34"/>
      <c r="H13398" s="4"/>
    </row>
    <row r="13399" spans="5:8" x14ac:dyDescent="0.25">
      <c r="E13399" s="34"/>
      <c r="G13399" s="34"/>
      <c r="H13399" s="4"/>
    </row>
    <row r="13400" spans="5:8" x14ac:dyDescent="0.25">
      <c r="E13400" s="34"/>
      <c r="G13400" s="34"/>
      <c r="H13400" s="4"/>
    </row>
    <row r="13401" spans="5:8" x14ac:dyDescent="0.25">
      <c r="E13401" s="34"/>
      <c r="G13401" s="34"/>
      <c r="H13401" s="4"/>
    </row>
    <row r="13402" spans="5:8" x14ac:dyDescent="0.25">
      <c r="E13402" s="34"/>
      <c r="G13402" s="34"/>
      <c r="H13402" s="4"/>
    </row>
    <row r="13403" spans="5:8" x14ac:dyDescent="0.25">
      <c r="E13403" s="34"/>
      <c r="G13403" s="34"/>
      <c r="H13403" s="4"/>
    </row>
    <row r="13404" spans="5:8" x14ac:dyDescent="0.25">
      <c r="E13404" s="34"/>
      <c r="G13404" s="34"/>
      <c r="H13404" s="4"/>
    </row>
    <row r="13405" spans="5:8" x14ac:dyDescent="0.25">
      <c r="E13405" s="34"/>
      <c r="G13405" s="34"/>
      <c r="H13405" s="4"/>
    </row>
    <row r="13406" spans="5:8" x14ac:dyDescent="0.25">
      <c r="E13406" s="34"/>
      <c r="G13406" s="34"/>
      <c r="H13406" s="4"/>
    </row>
    <row r="13407" spans="5:8" x14ac:dyDescent="0.25">
      <c r="E13407" s="34"/>
      <c r="G13407" s="34"/>
      <c r="H13407" s="4"/>
    </row>
    <row r="13408" spans="5:8" x14ac:dyDescent="0.25">
      <c r="E13408" s="34"/>
      <c r="G13408" s="34"/>
      <c r="H13408" s="4"/>
    </row>
    <row r="13409" spans="5:8" x14ac:dyDescent="0.25">
      <c r="E13409" s="34"/>
      <c r="G13409" s="34"/>
      <c r="H13409" s="4"/>
    </row>
    <row r="13410" spans="5:8" x14ac:dyDescent="0.25">
      <c r="E13410" s="34"/>
      <c r="G13410" s="34"/>
      <c r="H13410" s="4"/>
    </row>
    <row r="13411" spans="5:8" x14ac:dyDescent="0.25">
      <c r="E13411" s="34"/>
      <c r="G13411" s="34"/>
      <c r="H13411" s="4"/>
    </row>
    <row r="13412" spans="5:8" x14ac:dyDescent="0.25">
      <c r="E13412" s="34"/>
      <c r="G13412" s="34"/>
      <c r="H13412" s="4"/>
    </row>
    <row r="13413" spans="5:8" x14ac:dyDescent="0.25">
      <c r="E13413" s="34"/>
      <c r="G13413" s="34"/>
      <c r="H13413" s="4"/>
    </row>
    <row r="13414" spans="5:8" x14ac:dyDescent="0.25">
      <c r="E13414" s="34"/>
      <c r="G13414" s="34"/>
      <c r="H13414" s="4"/>
    </row>
    <row r="13415" spans="5:8" x14ac:dyDescent="0.25">
      <c r="E13415" s="34"/>
      <c r="G13415" s="34"/>
      <c r="H13415" s="4"/>
    </row>
    <row r="13416" spans="5:8" x14ac:dyDescent="0.25">
      <c r="E13416" s="34"/>
      <c r="G13416" s="34"/>
      <c r="H13416" s="4"/>
    </row>
    <row r="13417" spans="5:8" x14ac:dyDescent="0.25">
      <c r="E13417" s="34"/>
      <c r="G13417" s="34"/>
      <c r="H13417" s="4"/>
    </row>
    <row r="13418" spans="5:8" x14ac:dyDescent="0.25">
      <c r="E13418" s="34"/>
      <c r="G13418" s="34"/>
      <c r="H13418" s="4"/>
    </row>
    <row r="13419" spans="5:8" x14ac:dyDescent="0.25">
      <c r="E13419" s="34"/>
      <c r="G13419" s="34"/>
      <c r="H13419" s="4"/>
    </row>
    <row r="13420" spans="5:8" x14ac:dyDescent="0.25">
      <c r="E13420" s="34"/>
      <c r="G13420" s="34"/>
      <c r="H13420" s="4"/>
    </row>
    <row r="13421" spans="5:8" x14ac:dyDescent="0.25">
      <c r="E13421" s="34"/>
      <c r="G13421" s="34"/>
      <c r="H13421" s="4"/>
    </row>
    <row r="13422" spans="5:8" x14ac:dyDescent="0.25">
      <c r="E13422" s="34"/>
      <c r="G13422" s="34"/>
      <c r="H13422" s="4"/>
    </row>
    <row r="13423" spans="5:8" x14ac:dyDescent="0.25">
      <c r="E13423" s="34"/>
      <c r="G13423" s="34"/>
      <c r="H13423" s="4"/>
    </row>
    <row r="13424" spans="5:8" x14ac:dyDescent="0.25">
      <c r="E13424" s="34"/>
      <c r="G13424" s="34"/>
      <c r="H13424" s="4"/>
    </row>
    <row r="13425" spans="5:8" x14ac:dyDescent="0.25">
      <c r="E13425" s="34"/>
      <c r="G13425" s="34"/>
      <c r="H13425" s="4"/>
    </row>
    <row r="13426" spans="5:8" x14ac:dyDescent="0.25">
      <c r="E13426" s="34"/>
      <c r="G13426" s="34"/>
      <c r="H13426" s="4"/>
    </row>
    <row r="13427" spans="5:8" x14ac:dyDescent="0.25">
      <c r="E13427" s="34"/>
      <c r="G13427" s="34"/>
      <c r="H13427" s="4"/>
    </row>
    <row r="13428" spans="5:8" x14ac:dyDescent="0.25">
      <c r="E13428" s="34"/>
      <c r="G13428" s="34"/>
      <c r="H13428" s="4"/>
    </row>
    <row r="13429" spans="5:8" x14ac:dyDescent="0.25">
      <c r="E13429" s="34"/>
      <c r="G13429" s="34"/>
      <c r="H13429" s="4"/>
    </row>
    <row r="13430" spans="5:8" x14ac:dyDescent="0.25">
      <c r="E13430" s="34"/>
      <c r="G13430" s="34"/>
      <c r="H13430" s="4"/>
    </row>
    <row r="13431" spans="5:8" x14ac:dyDescent="0.25">
      <c r="E13431" s="34"/>
      <c r="G13431" s="34"/>
      <c r="H13431" s="4"/>
    </row>
    <row r="13432" spans="5:8" x14ac:dyDescent="0.25">
      <c r="E13432" s="34"/>
      <c r="G13432" s="34"/>
      <c r="H13432" s="4"/>
    </row>
    <row r="13433" spans="5:8" x14ac:dyDescent="0.25">
      <c r="E13433" s="34"/>
      <c r="G13433" s="34"/>
      <c r="H13433" s="4"/>
    </row>
    <row r="13434" spans="5:8" x14ac:dyDescent="0.25">
      <c r="E13434" s="34"/>
      <c r="G13434" s="34"/>
      <c r="H13434" s="4"/>
    </row>
    <row r="13435" spans="5:8" x14ac:dyDescent="0.25">
      <c r="E13435" s="34"/>
      <c r="G13435" s="34"/>
      <c r="H13435" s="4"/>
    </row>
    <row r="13436" spans="5:8" x14ac:dyDescent="0.25">
      <c r="E13436" s="34"/>
      <c r="G13436" s="34"/>
      <c r="H13436" s="4"/>
    </row>
    <row r="13437" spans="5:8" x14ac:dyDescent="0.25">
      <c r="E13437" s="34"/>
      <c r="G13437" s="34"/>
      <c r="H13437" s="4"/>
    </row>
    <row r="13438" spans="5:8" x14ac:dyDescent="0.25">
      <c r="E13438" s="34"/>
      <c r="G13438" s="34"/>
      <c r="H13438" s="4"/>
    </row>
    <row r="13439" spans="5:8" x14ac:dyDescent="0.25">
      <c r="E13439" s="34"/>
      <c r="G13439" s="34"/>
      <c r="H13439" s="4"/>
    </row>
    <row r="13440" spans="5:8" x14ac:dyDescent="0.25">
      <c r="E13440" s="34"/>
      <c r="G13440" s="34"/>
      <c r="H13440" s="4"/>
    </row>
    <row r="13441" spans="5:8" x14ac:dyDescent="0.25">
      <c r="E13441" s="34"/>
      <c r="G13441" s="34"/>
      <c r="H13441" s="4"/>
    </row>
    <row r="13442" spans="5:8" x14ac:dyDescent="0.25">
      <c r="E13442" s="34"/>
      <c r="G13442" s="34"/>
      <c r="H13442" s="4"/>
    </row>
    <row r="13443" spans="5:8" x14ac:dyDescent="0.25">
      <c r="E13443" s="34"/>
      <c r="G13443" s="34"/>
      <c r="H13443" s="4"/>
    </row>
    <row r="13444" spans="5:8" x14ac:dyDescent="0.25">
      <c r="E13444" s="34"/>
      <c r="G13444" s="34"/>
      <c r="H13444" s="4"/>
    </row>
    <row r="13445" spans="5:8" x14ac:dyDescent="0.25">
      <c r="E13445" s="34"/>
      <c r="G13445" s="34"/>
      <c r="H13445" s="4"/>
    </row>
    <row r="13446" spans="5:8" x14ac:dyDescent="0.25">
      <c r="E13446" s="34"/>
      <c r="G13446" s="34"/>
      <c r="H13446" s="4"/>
    </row>
    <row r="13447" spans="5:8" x14ac:dyDescent="0.25">
      <c r="E13447" s="34"/>
      <c r="G13447" s="34"/>
      <c r="H13447" s="4"/>
    </row>
    <row r="13448" spans="5:8" x14ac:dyDescent="0.25">
      <c r="E13448" s="34"/>
      <c r="G13448" s="34"/>
      <c r="H13448" s="4"/>
    </row>
    <row r="13449" spans="5:8" x14ac:dyDescent="0.25">
      <c r="E13449" s="34"/>
      <c r="G13449" s="34"/>
      <c r="H13449" s="4"/>
    </row>
    <row r="13450" spans="5:8" x14ac:dyDescent="0.25">
      <c r="E13450" s="34"/>
      <c r="G13450" s="34"/>
      <c r="H13450" s="4"/>
    </row>
    <row r="13451" spans="5:8" x14ac:dyDescent="0.25">
      <c r="E13451" s="34"/>
      <c r="G13451" s="34"/>
      <c r="H13451" s="4"/>
    </row>
    <row r="13452" spans="5:8" x14ac:dyDescent="0.25">
      <c r="E13452" s="34"/>
      <c r="G13452" s="34"/>
      <c r="H13452" s="4"/>
    </row>
    <row r="13453" spans="5:8" x14ac:dyDescent="0.25">
      <c r="E13453" s="34"/>
      <c r="G13453" s="34"/>
      <c r="H13453" s="4"/>
    </row>
    <row r="13454" spans="5:8" x14ac:dyDescent="0.25">
      <c r="E13454" s="34"/>
      <c r="G13454" s="34"/>
      <c r="H13454" s="4"/>
    </row>
    <row r="13455" spans="5:8" x14ac:dyDescent="0.25">
      <c r="E13455" s="34"/>
      <c r="G13455" s="34"/>
      <c r="H13455" s="4"/>
    </row>
    <row r="13456" spans="5:8" x14ac:dyDescent="0.25">
      <c r="E13456" s="34"/>
      <c r="G13456" s="34"/>
      <c r="H13456" s="4"/>
    </row>
    <row r="13457" spans="5:8" x14ac:dyDescent="0.25">
      <c r="E13457" s="34"/>
      <c r="G13457" s="34"/>
      <c r="H13457" s="4"/>
    </row>
    <row r="13458" spans="5:8" x14ac:dyDescent="0.25">
      <c r="E13458" s="34"/>
      <c r="G13458" s="34"/>
      <c r="H13458" s="4"/>
    </row>
    <row r="13459" spans="5:8" x14ac:dyDescent="0.25">
      <c r="E13459" s="34"/>
      <c r="G13459" s="34"/>
      <c r="H13459" s="4"/>
    </row>
    <row r="13460" spans="5:8" x14ac:dyDescent="0.25">
      <c r="E13460" s="34"/>
      <c r="G13460" s="34"/>
      <c r="H13460" s="4"/>
    </row>
    <row r="13461" spans="5:8" x14ac:dyDescent="0.25">
      <c r="E13461" s="34"/>
      <c r="G13461" s="34"/>
      <c r="H13461" s="4"/>
    </row>
    <row r="13462" spans="5:8" x14ac:dyDescent="0.25">
      <c r="E13462" s="34"/>
      <c r="G13462" s="34"/>
      <c r="H13462" s="4"/>
    </row>
    <row r="13463" spans="5:8" x14ac:dyDescent="0.25">
      <c r="E13463" s="34"/>
      <c r="G13463" s="34"/>
      <c r="H13463" s="4"/>
    </row>
    <row r="13464" spans="5:8" x14ac:dyDescent="0.25">
      <c r="E13464" s="34"/>
      <c r="G13464" s="34"/>
      <c r="H13464" s="4"/>
    </row>
    <row r="13465" spans="5:8" x14ac:dyDescent="0.25">
      <c r="E13465" s="34"/>
      <c r="G13465" s="34"/>
      <c r="H13465" s="4"/>
    </row>
    <row r="13466" spans="5:8" x14ac:dyDescent="0.25">
      <c r="E13466" s="34"/>
      <c r="G13466" s="34"/>
      <c r="H13466" s="4"/>
    </row>
    <row r="13467" spans="5:8" x14ac:dyDescent="0.25">
      <c r="E13467" s="34"/>
      <c r="G13467" s="34"/>
      <c r="H13467" s="4"/>
    </row>
    <row r="13468" spans="5:8" x14ac:dyDescent="0.25">
      <c r="E13468" s="34"/>
      <c r="G13468" s="34"/>
      <c r="H13468" s="4"/>
    </row>
    <row r="13469" spans="5:8" x14ac:dyDescent="0.25">
      <c r="E13469" s="34"/>
      <c r="G13469" s="34"/>
      <c r="H13469" s="4"/>
    </row>
    <row r="13470" spans="5:8" x14ac:dyDescent="0.25">
      <c r="E13470" s="34"/>
      <c r="G13470" s="34"/>
      <c r="H13470" s="4"/>
    </row>
    <row r="13471" spans="5:8" x14ac:dyDescent="0.25">
      <c r="E13471" s="34"/>
      <c r="G13471" s="34"/>
      <c r="H13471" s="4"/>
    </row>
    <row r="13472" spans="5:8" x14ac:dyDescent="0.25">
      <c r="E13472" s="34"/>
      <c r="G13472" s="34"/>
      <c r="H13472" s="4"/>
    </row>
    <row r="13473" spans="5:8" x14ac:dyDescent="0.25">
      <c r="E13473" s="34"/>
      <c r="G13473" s="34"/>
      <c r="H13473" s="4"/>
    </row>
    <row r="13474" spans="5:8" x14ac:dyDescent="0.25">
      <c r="E13474" s="34"/>
      <c r="G13474" s="34"/>
      <c r="H13474" s="4"/>
    </row>
    <row r="13475" spans="5:8" x14ac:dyDescent="0.25">
      <c r="E13475" s="34"/>
      <c r="G13475" s="34"/>
      <c r="H13475" s="4"/>
    </row>
    <row r="13476" spans="5:8" x14ac:dyDescent="0.25">
      <c r="E13476" s="34"/>
      <c r="G13476" s="34"/>
      <c r="H13476" s="4"/>
    </row>
    <row r="13477" spans="5:8" x14ac:dyDescent="0.25">
      <c r="E13477" s="34"/>
      <c r="G13477" s="34"/>
      <c r="H13477" s="4"/>
    </row>
    <row r="13478" spans="5:8" x14ac:dyDescent="0.25">
      <c r="E13478" s="34"/>
      <c r="G13478" s="34"/>
      <c r="H13478" s="4"/>
    </row>
    <row r="13479" spans="5:8" x14ac:dyDescent="0.25">
      <c r="E13479" s="34"/>
      <c r="G13479" s="34"/>
      <c r="H13479" s="4"/>
    </row>
    <row r="13480" spans="5:8" x14ac:dyDescent="0.25">
      <c r="E13480" s="34"/>
      <c r="G13480" s="34"/>
      <c r="H13480" s="4"/>
    </row>
    <row r="13481" spans="5:8" x14ac:dyDescent="0.25">
      <c r="E13481" s="34"/>
      <c r="G13481" s="34"/>
      <c r="H13481" s="4"/>
    </row>
    <row r="13482" spans="5:8" x14ac:dyDescent="0.25">
      <c r="E13482" s="34"/>
      <c r="G13482" s="34"/>
      <c r="H13482" s="4"/>
    </row>
    <row r="13483" spans="5:8" x14ac:dyDescent="0.25">
      <c r="E13483" s="34"/>
      <c r="G13483" s="34"/>
      <c r="H13483" s="4"/>
    </row>
    <row r="13484" spans="5:8" x14ac:dyDescent="0.25">
      <c r="E13484" s="34"/>
      <c r="G13484" s="34"/>
      <c r="H13484" s="4"/>
    </row>
    <row r="13485" spans="5:8" x14ac:dyDescent="0.25">
      <c r="E13485" s="34"/>
      <c r="G13485" s="34"/>
      <c r="H13485" s="4"/>
    </row>
    <row r="13486" spans="5:8" x14ac:dyDescent="0.25">
      <c r="E13486" s="34"/>
      <c r="G13486" s="34"/>
      <c r="H13486" s="4"/>
    </row>
    <row r="13487" spans="5:8" x14ac:dyDescent="0.25">
      <c r="E13487" s="34"/>
      <c r="G13487" s="34"/>
      <c r="H13487" s="4"/>
    </row>
    <row r="13488" spans="5:8" x14ac:dyDescent="0.25">
      <c r="E13488" s="34"/>
      <c r="G13488" s="34"/>
      <c r="H13488" s="4"/>
    </row>
    <row r="13489" spans="5:8" x14ac:dyDescent="0.25">
      <c r="E13489" s="34"/>
      <c r="G13489" s="34"/>
      <c r="H13489" s="4"/>
    </row>
    <row r="13490" spans="5:8" x14ac:dyDescent="0.25">
      <c r="E13490" s="34"/>
      <c r="G13490" s="34"/>
      <c r="H13490" s="4"/>
    </row>
    <row r="13491" spans="5:8" x14ac:dyDescent="0.25">
      <c r="E13491" s="34"/>
      <c r="G13491" s="34"/>
      <c r="H13491" s="4"/>
    </row>
    <row r="13492" spans="5:8" x14ac:dyDescent="0.25">
      <c r="E13492" s="34"/>
      <c r="G13492" s="34"/>
      <c r="H13492" s="4"/>
    </row>
    <row r="13493" spans="5:8" x14ac:dyDescent="0.25">
      <c r="E13493" s="34"/>
      <c r="G13493" s="34"/>
      <c r="H13493" s="4"/>
    </row>
    <row r="13494" spans="5:8" x14ac:dyDescent="0.25">
      <c r="E13494" s="34"/>
      <c r="G13494" s="34"/>
      <c r="H13494" s="4"/>
    </row>
    <row r="13495" spans="5:8" x14ac:dyDescent="0.25">
      <c r="E13495" s="34"/>
      <c r="G13495" s="34"/>
      <c r="H13495" s="4"/>
    </row>
    <row r="13496" spans="5:8" x14ac:dyDescent="0.25">
      <c r="E13496" s="34"/>
      <c r="G13496" s="34"/>
      <c r="H13496" s="4"/>
    </row>
    <row r="13497" spans="5:8" x14ac:dyDescent="0.25">
      <c r="E13497" s="34"/>
      <c r="G13497" s="34"/>
      <c r="H13497" s="4"/>
    </row>
    <row r="13498" spans="5:8" x14ac:dyDescent="0.25">
      <c r="E13498" s="34"/>
      <c r="G13498" s="34"/>
      <c r="H13498" s="4"/>
    </row>
    <row r="13499" spans="5:8" x14ac:dyDescent="0.25">
      <c r="E13499" s="34"/>
      <c r="G13499" s="34"/>
      <c r="H13499" s="4"/>
    </row>
    <row r="13500" spans="5:8" x14ac:dyDescent="0.25">
      <c r="E13500" s="34"/>
      <c r="G13500" s="34"/>
      <c r="H13500" s="4"/>
    </row>
    <row r="13501" spans="5:8" x14ac:dyDescent="0.25">
      <c r="E13501" s="34"/>
      <c r="G13501" s="34"/>
      <c r="H13501" s="4"/>
    </row>
    <row r="13502" spans="5:8" x14ac:dyDescent="0.25">
      <c r="E13502" s="34"/>
      <c r="G13502" s="34"/>
      <c r="H13502" s="4"/>
    </row>
    <row r="13503" spans="5:8" x14ac:dyDescent="0.25">
      <c r="E13503" s="34"/>
      <c r="G13503" s="34"/>
      <c r="H13503" s="4"/>
    </row>
    <row r="13504" spans="5:8" x14ac:dyDescent="0.25">
      <c r="E13504" s="34"/>
      <c r="G13504" s="34"/>
      <c r="H13504" s="4"/>
    </row>
    <row r="13505" spans="5:8" x14ac:dyDescent="0.25">
      <c r="E13505" s="34"/>
      <c r="G13505" s="34"/>
      <c r="H13505" s="4"/>
    </row>
    <row r="13506" spans="5:8" x14ac:dyDescent="0.25">
      <c r="E13506" s="34"/>
      <c r="G13506" s="34"/>
      <c r="H13506" s="4"/>
    </row>
    <row r="13507" spans="5:8" x14ac:dyDescent="0.25">
      <c r="E13507" s="34"/>
      <c r="G13507" s="34"/>
      <c r="H13507" s="4"/>
    </row>
    <row r="13508" spans="5:8" x14ac:dyDescent="0.25">
      <c r="E13508" s="34"/>
      <c r="G13508" s="34"/>
      <c r="H13508" s="4"/>
    </row>
    <row r="13509" spans="5:8" x14ac:dyDescent="0.25">
      <c r="E13509" s="34"/>
      <c r="G13509" s="34"/>
      <c r="H13509" s="4"/>
    </row>
    <row r="13510" spans="5:8" x14ac:dyDescent="0.25">
      <c r="E13510" s="34"/>
      <c r="G13510" s="34"/>
      <c r="H13510" s="4"/>
    </row>
    <row r="13511" spans="5:8" x14ac:dyDescent="0.25">
      <c r="E13511" s="34"/>
      <c r="G13511" s="34"/>
      <c r="H13511" s="4"/>
    </row>
    <row r="13512" spans="5:8" x14ac:dyDescent="0.25">
      <c r="E13512" s="34"/>
      <c r="G13512" s="34"/>
      <c r="H13512" s="4"/>
    </row>
    <row r="13513" spans="5:8" x14ac:dyDescent="0.25">
      <c r="E13513" s="34"/>
      <c r="G13513" s="34"/>
      <c r="H13513" s="4"/>
    </row>
    <row r="13514" spans="5:8" x14ac:dyDescent="0.25">
      <c r="E13514" s="34"/>
      <c r="G13514" s="34"/>
      <c r="H13514" s="4"/>
    </row>
    <row r="13515" spans="5:8" x14ac:dyDescent="0.25">
      <c r="E13515" s="34"/>
      <c r="G13515" s="34"/>
      <c r="H13515" s="4"/>
    </row>
    <row r="13516" spans="5:8" x14ac:dyDescent="0.25">
      <c r="E13516" s="34"/>
      <c r="G13516" s="34"/>
      <c r="H13516" s="4"/>
    </row>
    <row r="13517" spans="5:8" x14ac:dyDescent="0.25">
      <c r="E13517" s="34"/>
      <c r="G13517" s="34"/>
      <c r="H13517" s="4"/>
    </row>
    <row r="13518" spans="5:8" x14ac:dyDescent="0.25">
      <c r="E13518" s="34"/>
      <c r="G13518" s="34"/>
      <c r="H13518" s="4"/>
    </row>
    <row r="13519" spans="5:8" x14ac:dyDescent="0.25">
      <c r="E13519" s="34"/>
      <c r="G13519" s="34"/>
      <c r="H13519" s="4"/>
    </row>
    <row r="13520" spans="5:8" x14ac:dyDescent="0.25">
      <c r="E13520" s="34"/>
      <c r="G13520" s="34"/>
      <c r="H13520" s="4"/>
    </row>
    <row r="13521" spans="5:8" x14ac:dyDescent="0.25">
      <c r="E13521" s="34"/>
      <c r="G13521" s="34"/>
      <c r="H13521" s="4"/>
    </row>
    <row r="13522" spans="5:8" x14ac:dyDescent="0.25">
      <c r="E13522" s="34"/>
      <c r="G13522" s="34"/>
      <c r="H13522" s="4"/>
    </row>
    <row r="13523" spans="5:8" x14ac:dyDescent="0.25">
      <c r="E13523" s="34"/>
      <c r="G13523" s="34"/>
      <c r="H13523" s="4"/>
    </row>
    <row r="13524" spans="5:8" x14ac:dyDescent="0.25">
      <c r="E13524" s="34"/>
      <c r="G13524" s="34"/>
      <c r="H13524" s="4"/>
    </row>
    <row r="13525" spans="5:8" x14ac:dyDescent="0.25">
      <c r="E13525" s="34"/>
      <c r="G13525" s="34"/>
      <c r="H13525" s="4"/>
    </row>
    <row r="13526" spans="5:8" x14ac:dyDescent="0.25">
      <c r="E13526" s="34"/>
      <c r="G13526" s="34"/>
      <c r="H13526" s="4"/>
    </row>
    <row r="13527" spans="5:8" x14ac:dyDescent="0.25">
      <c r="E13527" s="34"/>
      <c r="G13527" s="34"/>
      <c r="H13527" s="4"/>
    </row>
    <row r="13528" spans="5:8" x14ac:dyDescent="0.25">
      <c r="E13528" s="34"/>
      <c r="G13528" s="34"/>
      <c r="H13528" s="4"/>
    </row>
    <row r="13529" spans="5:8" x14ac:dyDescent="0.25">
      <c r="E13529" s="34"/>
      <c r="G13529" s="34"/>
      <c r="H13529" s="4"/>
    </row>
    <row r="13530" spans="5:8" x14ac:dyDescent="0.25">
      <c r="E13530" s="34"/>
      <c r="G13530" s="34"/>
      <c r="H13530" s="4"/>
    </row>
    <row r="13531" spans="5:8" x14ac:dyDescent="0.25">
      <c r="E13531" s="34"/>
      <c r="G13531" s="34"/>
      <c r="H13531" s="4"/>
    </row>
    <row r="13532" spans="5:8" x14ac:dyDescent="0.25">
      <c r="E13532" s="34"/>
      <c r="G13532" s="34"/>
      <c r="H13532" s="4"/>
    </row>
    <row r="13533" spans="5:8" x14ac:dyDescent="0.25">
      <c r="E13533" s="34"/>
      <c r="G13533" s="34"/>
      <c r="H13533" s="4"/>
    </row>
    <row r="13534" spans="5:8" x14ac:dyDescent="0.25">
      <c r="E13534" s="34"/>
      <c r="G13534" s="34"/>
      <c r="H13534" s="4"/>
    </row>
    <row r="13535" spans="5:8" x14ac:dyDescent="0.25">
      <c r="E13535" s="34"/>
      <c r="G13535" s="34"/>
      <c r="H13535" s="4"/>
    </row>
    <row r="13536" spans="5:8" x14ac:dyDescent="0.25">
      <c r="E13536" s="34"/>
      <c r="G13536" s="34"/>
      <c r="H13536" s="4"/>
    </row>
    <row r="13537" spans="5:8" x14ac:dyDescent="0.25">
      <c r="E13537" s="34"/>
      <c r="G13537" s="34"/>
      <c r="H13537" s="4"/>
    </row>
    <row r="13538" spans="5:8" x14ac:dyDescent="0.25">
      <c r="E13538" s="34"/>
      <c r="G13538" s="34"/>
      <c r="H13538" s="4"/>
    </row>
    <row r="13539" spans="5:8" x14ac:dyDescent="0.25">
      <c r="E13539" s="34"/>
      <c r="G13539" s="34"/>
      <c r="H13539" s="4"/>
    </row>
    <row r="13540" spans="5:8" x14ac:dyDescent="0.25">
      <c r="E13540" s="34"/>
      <c r="G13540" s="34"/>
      <c r="H13540" s="4"/>
    </row>
    <row r="13541" spans="5:8" x14ac:dyDescent="0.25">
      <c r="E13541" s="34"/>
      <c r="G13541" s="34"/>
      <c r="H13541" s="4"/>
    </row>
    <row r="13542" spans="5:8" x14ac:dyDescent="0.25">
      <c r="E13542" s="34"/>
      <c r="G13542" s="34"/>
      <c r="H13542" s="4"/>
    </row>
    <row r="13543" spans="5:8" x14ac:dyDescent="0.25">
      <c r="E13543" s="34"/>
      <c r="G13543" s="34"/>
      <c r="H13543" s="4"/>
    </row>
    <row r="13544" spans="5:8" x14ac:dyDescent="0.25">
      <c r="E13544" s="34"/>
      <c r="G13544" s="34"/>
      <c r="H13544" s="4"/>
    </row>
    <row r="13545" spans="5:8" x14ac:dyDescent="0.25">
      <c r="E13545" s="34"/>
      <c r="G13545" s="34"/>
      <c r="H13545" s="4"/>
    </row>
    <row r="13546" spans="5:8" x14ac:dyDescent="0.25">
      <c r="E13546" s="34"/>
      <c r="G13546" s="34"/>
      <c r="H13546" s="4"/>
    </row>
    <row r="13547" spans="5:8" x14ac:dyDescent="0.25">
      <c r="E13547" s="34"/>
      <c r="G13547" s="34"/>
      <c r="H13547" s="4"/>
    </row>
    <row r="13548" spans="5:8" x14ac:dyDescent="0.25">
      <c r="E13548" s="34"/>
      <c r="G13548" s="34"/>
      <c r="H13548" s="4"/>
    </row>
    <row r="13549" spans="5:8" x14ac:dyDescent="0.25">
      <c r="E13549" s="34"/>
      <c r="G13549" s="34"/>
      <c r="H13549" s="4"/>
    </row>
    <row r="13550" spans="5:8" x14ac:dyDescent="0.25">
      <c r="E13550" s="34"/>
      <c r="G13550" s="34"/>
      <c r="H13550" s="4"/>
    </row>
    <row r="13551" spans="5:8" x14ac:dyDescent="0.25">
      <c r="E13551" s="34"/>
      <c r="G13551" s="34"/>
      <c r="H13551" s="4"/>
    </row>
    <row r="13552" spans="5:8" x14ac:dyDescent="0.25">
      <c r="E13552" s="34"/>
      <c r="G13552" s="34"/>
      <c r="H13552" s="4"/>
    </row>
    <row r="13553" spans="5:8" x14ac:dyDescent="0.25">
      <c r="E13553" s="34"/>
      <c r="G13553" s="34"/>
      <c r="H13553" s="4"/>
    </row>
    <row r="13554" spans="5:8" x14ac:dyDescent="0.25">
      <c r="E13554" s="34"/>
      <c r="G13554" s="34"/>
      <c r="H13554" s="4"/>
    </row>
    <row r="13555" spans="5:8" x14ac:dyDescent="0.25">
      <c r="E13555" s="34"/>
      <c r="G13555" s="34"/>
      <c r="H13555" s="4"/>
    </row>
    <row r="13556" spans="5:8" x14ac:dyDescent="0.25">
      <c r="E13556" s="34"/>
      <c r="G13556" s="34"/>
      <c r="H13556" s="4"/>
    </row>
    <row r="13557" spans="5:8" x14ac:dyDescent="0.25">
      <c r="E13557" s="34"/>
      <c r="G13557" s="34"/>
      <c r="H13557" s="4"/>
    </row>
    <row r="13558" spans="5:8" x14ac:dyDescent="0.25">
      <c r="E13558" s="34"/>
      <c r="G13558" s="34"/>
      <c r="H13558" s="4"/>
    </row>
    <row r="13559" spans="5:8" x14ac:dyDescent="0.25">
      <c r="E13559" s="34"/>
      <c r="G13559" s="34"/>
      <c r="H13559" s="4"/>
    </row>
    <row r="13560" spans="5:8" x14ac:dyDescent="0.25">
      <c r="E13560" s="34"/>
      <c r="G13560" s="34"/>
      <c r="H13560" s="4"/>
    </row>
    <row r="13561" spans="5:8" x14ac:dyDescent="0.25">
      <c r="E13561" s="34"/>
      <c r="G13561" s="34"/>
      <c r="H13561" s="4"/>
    </row>
    <row r="13562" spans="5:8" x14ac:dyDescent="0.25">
      <c r="E13562" s="34"/>
      <c r="G13562" s="34"/>
      <c r="H13562" s="4"/>
    </row>
    <row r="13563" spans="5:8" x14ac:dyDescent="0.25">
      <c r="E13563" s="34"/>
      <c r="G13563" s="34"/>
      <c r="H13563" s="4"/>
    </row>
    <row r="13564" spans="5:8" x14ac:dyDescent="0.25">
      <c r="E13564" s="34"/>
      <c r="G13564" s="34"/>
      <c r="H13564" s="4"/>
    </row>
    <row r="13565" spans="5:8" x14ac:dyDescent="0.25">
      <c r="E13565" s="34"/>
      <c r="G13565" s="34"/>
      <c r="H13565" s="4"/>
    </row>
    <row r="13566" spans="5:8" x14ac:dyDescent="0.25">
      <c r="E13566" s="34"/>
      <c r="G13566" s="34"/>
      <c r="H13566" s="4"/>
    </row>
    <row r="13567" spans="5:8" x14ac:dyDescent="0.25">
      <c r="E13567" s="34"/>
      <c r="G13567" s="34"/>
      <c r="H13567" s="4"/>
    </row>
    <row r="13568" spans="5:8" x14ac:dyDescent="0.25">
      <c r="E13568" s="34"/>
      <c r="G13568" s="34"/>
      <c r="H13568" s="4"/>
    </row>
    <row r="13569" spans="5:8" x14ac:dyDescent="0.25">
      <c r="E13569" s="34"/>
      <c r="G13569" s="34"/>
      <c r="H13569" s="4"/>
    </row>
    <row r="13570" spans="5:8" x14ac:dyDescent="0.25">
      <c r="E13570" s="34"/>
      <c r="G13570" s="34"/>
      <c r="H13570" s="4"/>
    </row>
    <row r="13571" spans="5:8" x14ac:dyDescent="0.25">
      <c r="E13571" s="34"/>
      <c r="G13571" s="34"/>
      <c r="H13571" s="4"/>
    </row>
    <row r="13572" spans="5:8" x14ac:dyDescent="0.25">
      <c r="E13572" s="34"/>
      <c r="G13572" s="34"/>
      <c r="H13572" s="4"/>
    </row>
    <row r="13573" spans="5:8" x14ac:dyDescent="0.25">
      <c r="E13573" s="34"/>
      <c r="G13573" s="34"/>
      <c r="H13573" s="4"/>
    </row>
    <row r="13574" spans="5:8" x14ac:dyDescent="0.25">
      <c r="E13574" s="34"/>
      <c r="G13574" s="34"/>
      <c r="H13574" s="4"/>
    </row>
    <row r="13575" spans="5:8" x14ac:dyDescent="0.25">
      <c r="E13575" s="34"/>
      <c r="G13575" s="34"/>
      <c r="H13575" s="4"/>
    </row>
    <row r="13576" spans="5:8" x14ac:dyDescent="0.25">
      <c r="E13576" s="34"/>
      <c r="G13576" s="34"/>
      <c r="H13576" s="4"/>
    </row>
    <row r="13577" spans="5:8" x14ac:dyDescent="0.25">
      <c r="E13577" s="34"/>
      <c r="G13577" s="34"/>
      <c r="H13577" s="4"/>
    </row>
    <row r="13578" spans="5:8" x14ac:dyDescent="0.25">
      <c r="E13578" s="34"/>
      <c r="G13578" s="34"/>
      <c r="H13578" s="4"/>
    </row>
    <row r="13579" spans="5:8" x14ac:dyDescent="0.25">
      <c r="E13579" s="34"/>
      <c r="G13579" s="34"/>
      <c r="H13579" s="4"/>
    </row>
    <row r="13580" spans="5:8" x14ac:dyDescent="0.25">
      <c r="E13580" s="34"/>
      <c r="G13580" s="34"/>
      <c r="H13580" s="4"/>
    </row>
    <row r="13581" spans="5:8" x14ac:dyDescent="0.25">
      <c r="E13581" s="34"/>
      <c r="G13581" s="34"/>
      <c r="H13581" s="4"/>
    </row>
    <row r="13582" spans="5:8" x14ac:dyDescent="0.25">
      <c r="E13582" s="34"/>
      <c r="G13582" s="34"/>
      <c r="H13582" s="4"/>
    </row>
    <row r="13583" spans="5:8" x14ac:dyDescent="0.25">
      <c r="E13583" s="34"/>
      <c r="G13583" s="34"/>
      <c r="H13583" s="4"/>
    </row>
    <row r="13584" spans="5:8" x14ac:dyDescent="0.25">
      <c r="E13584" s="34"/>
      <c r="G13584" s="34"/>
      <c r="H13584" s="4"/>
    </row>
    <row r="13585" spans="5:8" x14ac:dyDescent="0.25">
      <c r="E13585" s="34"/>
      <c r="G13585" s="34"/>
      <c r="H13585" s="4"/>
    </row>
    <row r="13586" spans="5:8" x14ac:dyDescent="0.25">
      <c r="E13586" s="34"/>
      <c r="G13586" s="34"/>
      <c r="H13586" s="4"/>
    </row>
    <row r="13587" spans="5:8" x14ac:dyDescent="0.25">
      <c r="E13587" s="34"/>
      <c r="G13587" s="34"/>
      <c r="H13587" s="4"/>
    </row>
    <row r="13588" spans="5:8" x14ac:dyDescent="0.25">
      <c r="E13588" s="34"/>
      <c r="G13588" s="34"/>
      <c r="H13588" s="4"/>
    </row>
    <row r="13589" spans="5:8" x14ac:dyDescent="0.25">
      <c r="E13589" s="34"/>
      <c r="G13589" s="34"/>
      <c r="H13589" s="4"/>
    </row>
    <row r="13590" spans="5:8" x14ac:dyDescent="0.25">
      <c r="E13590" s="34"/>
      <c r="G13590" s="34"/>
      <c r="H13590" s="4"/>
    </row>
    <row r="13591" spans="5:8" x14ac:dyDescent="0.25">
      <c r="E13591" s="34"/>
      <c r="G13591" s="34"/>
      <c r="H13591" s="4"/>
    </row>
    <row r="13592" spans="5:8" x14ac:dyDescent="0.25">
      <c r="E13592" s="34"/>
      <c r="G13592" s="34"/>
      <c r="H13592" s="4"/>
    </row>
    <row r="13593" spans="5:8" x14ac:dyDescent="0.25">
      <c r="E13593" s="34"/>
      <c r="G13593" s="34"/>
      <c r="H13593" s="4"/>
    </row>
    <row r="13594" spans="5:8" x14ac:dyDescent="0.25">
      <c r="E13594" s="34"/>
      <c r="G13594" s="34"/>
      <c r="H13594" s="4"/>
    </row>
    <row r="13595" spans="5:8" x14ac:dyDescent="0.25">
      <c r="E13595" s="34"/>
      <c r="G13595" s="34"/>
      <c r="H13595" s="4"/>
    </row>
    <row r="13596" spans="5:8" x14ac:dyDescent="0.25">
      <c r="E13596" s="34"/>
      <c r="G13596" s="34"/>
      <c r="H13596" s="4"/>
    </row>
    <row r="13597" spans="5:8" x14ac:dyDescent="0.25">
      <c r="E13597" s="34"/>
      <c r="G13597" s="34"/>
      <c r="H13597" s="4"/>
    </row>
    <row r="13598" spans="5:8" x14ac:dyDescent="0.25">
      <c r="E13598" s="34"/>
      <c r="G13598" s="34"/>
      <c r="H13598" s="4"/>
    </row>
    <row r="13599" spans="5:8" x14ac:dyDescent="0.25">
      <c r="E13599" s="34"/>
      <c r="G13599" s="34"/>
      <c r="H13599" s="4"/>
    </row>
    <row r="13600" spans="5:8" x14ac:dyDescent="0.25">
      <c r="E13600" s="34"/>
      <c r="G13600" s="34"/>
      <c r="H13600" s="4"/>
    </row>
    <row r="13601" spans="5:8" x14ac:dyDescent="0.25">
      <c r="E13601" s="34"/>
      <c r="G13601" s="34"/>
      <c r="H13601" s="4"/>
    </row>
    <row r="13602" spans="5:8" x14ac:dyDescent="0.25">
      <c r="E13602" s="34"/>
      <c r="G13602" s="34"/>
      <c r="H13602" s="4"/>
    </row>
    <row r="13603" spans="5:8" x14ac:dyDescent="0.25">
      <c r="E13603" s="34"/>
      <c r="G13603" s="34"/>
      <c r="H13603" s="4"/>
    </row>
    <row r="13604" spans="5:8" x14ac:dyDescent="0.25">
      <c r="E13604" s="34"/>
      <c r="G13604" s="34"/>
      <c r="H13604" s="4"/>
    </row>
    <row r="13605" spans="5:8" x14ac:dyDescent="0.25">
      <c r="E13605" s="34"/>
      <c r="G13605" s="34"/>
      <c r="H13605" s="4"/>
    </row>
    <row r="13606" spans="5:8" x14ac:dyDescent="0.25">
      <c r="E13606" s="34"/>
      <c r="G13606" s="34"/>
      <c r="H13606" s="4"/>
    </row>
    <row r="13607" spans="5:8" x14ac:dyDescent="0.25">
      <c r="E13607" s="34"/>
      <c r="G13607" s="34"/>
      <c r="H13607" s="4"/>
    </row>
    <row r="13608" spans="5:8" x14ac:dyDescent="0.25">
      <c r="E13608" s="34"/>
      <c r="G13608" s="34"/>
      <c r="H13608" s="4"/>
    </row>
    <row r="13609" spans="5:8" x14ac:dyDescent="0.25">
      <c r="E13609" s="34"/>
      <c r="G13609" s="34"/>
      <c r="H13609" s="4"/>
    </row>
    <row r="13610" spans="5:8" x14ac:dyDescent="0.25">
      <c r="E13610" s="34"/>
      <c r="G13610" s="34"/>
      <c r="H13610" s="4"/>
    </row>
    <row r="13611" spans="5:8" x14ac:dyDescent="0.25">
      <c r="E13611" s="34"/>
      <c r="G13611" s="34"/>
      <c r="H13611" s="4"/>
    </row>
    <row r="13612" spans="5:8" x14ac:dyDescent="0.25">
      <c r="E13612" s="34"/>
      <c r="G13612" s="34"/>
      <c r="H13612" s="4"/>
    </row>
    <row r="13613" spans="5:8" x14ac:dyDescent="0.25">
      <c r="E13613" s="34"/>
      <c r="G13613" s="34"/>
      <c r="H13613" s="4"/>
    </row>
    <row r="13614" spans="5:8" x14ac:dyDescent="0.25">
      <c r="E13614" s="34"/>
      <c r="G13614" s="34"/>
      <c r="H13614" s="4"/>
    </row>
    <row r="13615" spans="5:8" x14ac:dyDescent="0.25">
      <c r="E13615" s="34"/>
      <c r="G13615" s="34"/>
      <c r="H13615" s="4"/>
    </row>
    <row r="13616" spans="5:8" x14ac:dyDescent="0.25">
      <c r="E13616" s="34"/>
      <c r="G13616" s="34"/>
      <c r="H13616" s="4"/>
    </row>
    <row r="13617" spans="5:8" x14ac:dyDescent="0.25">
      <c r="E13617" s="34"/>
      <c r="G13617" s="34"/>
      <c r="H13617" s="4"/>
    </row>
    <row r="13618" spans="5:8" x14ac:dyDescent="0.25">
      <c r="E13618" s="34"/>
      <c r="G13618" s="34"/>
      <c r="H13618" s="4"/>
    </row>
    <row r="13619" spans="5:8" x14ac:dyDescent="0.25">
      <c r="E13619" s="34"/>
      <c r="G13619" s="34"/>
      <c r="H13619" s="4"/>
    </row>
    <row r="13620" spans="5:8" x14ac:dyDescent="0.25">
      <c r="E13620" s="34"/>
      <c r="G13620" s="34"/>
      <c r="H13620" s="4"/>
    </row>
    <row r="13621" spans="5:8" x14ac:dyDescent="0.25">
      <c r="E13621" s="34"/>
      <c r="G13621" s="34"/>
      <c r="H13621" s="4"/>
    </row>
    <row r="13622" spans="5:8" x14ac:dyDescent="0.25">
      <c r="E13622" s="34"/>
      <c r="G13622" s="34"/>
      <c r="H13622" s="4"/>
    </row>
    <row r="13623" spans="5:8" x14ac:dyDescent="0.25">
      <c r="E13623" s="34"/>
      <c r="G13623" s="34"/>
      <c r="H13623" s="4"/>
    </row>
    <row r="13624" spans="5:8" x14ac:dyDescent="0.25">
      <c r="E13624" s="34"/>
      <c r="G13624" s="34"/>
      <c r="H13624" s="4"/>
    </row>
    <row r="13625" spans="5:8" x14ac:dyDescent="0.25">
      <c r="E13625" s="34"/>
      <c r="G13625" s="34"/>
      <c r="H13625" s="4"/>
    </row>
    <row r="13626" spans="5:8" x14ac:dyDescent="0.25">
      <c r="E13626" s="34"/>
      <c r="G13626" s="34"/>
      <c r="H13626" s="4"/>
    </row>
    <row r="13627" spans="5:8" x14ac:dyDescent="0.25">
      <c r="E13627" s="34"/>
      <c r="G13627" s="34"/>
      <c r="H13627" s="4"/>
    </row>
    <row r="13628" spans="5:8" x14ac:dyDescent="0.25">
      <c r="E13628" s="34"/>
      <c r="G13628" s="34"/>
      <c r="H13628" s="4"/>
    </row>
    <row r="13629" spans="5:8" x14ac:dyDescent="0.25">
      <c r="E13629" s="34"/>
      <c r="G13629" s="34"/>
      <c r="H13629" s="4"/>
    </row>
    <row r="13630" spans="5:8" x14ac:dyDescent="0.25">
      <c r="E13630" s="34"/>
      <c r="G13630" s="34"/>
      <c r="H13630" s="4"/>
    </row>
    <row r="13631" spans="5:8" x14ac:dyDescent="0.25">
      <c r="E13631" s="34"/>
      <c r="G13631" s="34"/>
      <c r="H13631" s="4"/>
    </row>
    <row r="13632" spans="5:8" x14ac:dyDescent="0.25">
      <c r="E13632" s="34"/>
      <c r="G13632" s="34"/>
      <c r="H13632" s="4"/>
    </row>
    <row r="13633" spans="5:8" x14ac:dyDescent="0.25">
      <c r="E13633" s="34"/>
      <c r="G13633" s="34"/>
      <c r="H13633" s="4"/>
    </row>
    <row r="13634" spans="5:8" x14ac:dyDescent="0.25">
      <c r="E13634" s="34"/>
      <c r="G13634" s="34"/>
      <c r="H13634" s="4"/>
    </row>
    <row r="13635" spans="5:8" x14ac:dyDescent="0.25">
      <c r="E13635" s="34"/>
      <c r="G13635" s="34"/>
      <c r="H13635" s="4"/>
    </row>
    <row r="13636" spans="5:8" x14ac:dyDescent="0.25">
      <c r="E13636" s="34"/>
      <c r="G13636" s="34"/>
      <c r="H13636" s="4"/>
    </row>
    <row r="13637" spans="5:8" x14ac:dyDescent="0.25">
      <c r="E13637" s="34"/>
      <c r="G13637" s="34"/>
      <c r="H13637" s="4"/>
    </row>
    <row r="13638" spans="5:8" x14ac:dyDescent="0.25">
      <c r="E13638" s="34"/>
      <c r="G13638" s="34"/>
      <c r="H13638" s="4"/>
    </row>
    <row r="13639" spans="5:8" x14ac:dyDescent="0.25">
      <c r="E13639" s="34"/>
      <c r="G13639" s="34"/>
      <c r="H13639" s="4"/>
    </row>
    <row r="13640" spans="5:8" x14ac:dyDescent="0.25">
      <c r="E13640" s="34"/>
      <c r="G13640" s="34"/>
      <c r="H13640" s="4"/>
    </row>
    <row r="13641" spans="5:8" x14ac:dyDescent="0.25">
      <c r="E13641" s="34"/>
      <c r="G13641" s="34"/>
      <c r="H13641" s="4"/>
    </row>
    <row r="13642" spans="5:8" x14ac:dyDescent="0.25">
      <c r="E13642" s="34"/>
      <c r="G13642" s="34"/>
      <c r="H13642" s="4"/>
    </row>
    <row r="13643" spans="5:8" x14ac:dyDescent="0.25">
      <c r="E13643" s="34"/>
      <c r="G13643" s="34"/>
      <c r="H13643" s="4"/>
    </row>
    <row r="13644" spans="5:8" x14ac:dyDescent="0.25">
      <c r="E13644" s="34"/>
      <c r="G13644" s="34"/>
      <c r="H13644" s="4"/>
    </row>
    <row r="13645" spans="5:8" x14ac:dyDescent="0.25">
      <c r="E13645" s="34"/>
      <c r="G13645" s="34"/>
      <c r="H13645" s="4"/>
    </row>
    <row r="13646" spans="5:8" x14ac:dyDescent="0.25">
      <c r="E13646" s="34"/>
      <c r="G13646" s="34"/>
      <c r="H13646" s="4"/>
    </row>
    <row r="13647" spans="5:8" x14ac:dyDescent="0.25">
      <c r="E13647" s="34"/>
      <c r="G13647" s="34"/>
      <c r="H13647" s="4"/>
    </row>
    <row r="13648" spans="5:8" x14ac:dyDescent="0.25">
      <c r="E13648" s="34"/>
      <c r="G13648" s="34"/>
      <c r="H13648" s="4"/>
    </row>
    <row r="13649" spans="5:8" x14ac:dyDescent="0.25">
      <c r="E13649" s="34"/>
      <c r="G13649" s="34"/>
      <c r="H13649" s="4"/>
    </row>
    <row r="13650" spans="5:8" x14ac:dyDescent="0.25">
      <c r="E13650" s="34"/>
      <c r="G13650" s="34"/>
      <c r="H13650" s="4"/>
    </row>
    <row r="13651" spans="5:8" x14ac:dyDescent="0.25">
      <c r="E13651" s="34"/>
      <c r="G13651" s="34"/>
      <c r="H13651" s="4"/>
    </row>
    <row r="13652" spans="5:8" x14ac:dyDescent="0.25">
      <c r="E13652" s="34"/>
      <c r="G13652" s="34"/>
      <c r="H13652" s="4"/>
    </row>
    <row r="13653" spans="5:8" x14ac:dyDescent="0.25">
      <c r="E13653" s="34"/>
      <c r="G13653" s="34"/>
      <c r="H13653" s="4"/>
    </row>
    <row r="13654" spans="5:8" x14ac:dyDescent="0.25">
      <c r="E13654" s="34"/>
      <c r="G13654" s="34"/>
      <c r="H13654" s="4"/>
    </row>
    <row r="13655" spans="5:8" x14ac:dyDescent="0.25">
      <c r="E13655" s="34"/>
      <c r="G13655" s="34"/>
      <c r="H13655" s="4"/>
    </row>
    <row r="13656" spans="5:8" x14ac:dyDescent="0.25">
      <c r="E13656" s="34"/>
      <c r="G13656" s="34"/>
      <c r="H13656" s="4"/>
    </row>
    <row r="13657" spans="5:8" x14ac:dyDescent="0.25">
      <c r="E13657" s="34"/>
      <c r="G13657" s="34"/>
      <c r="H13657" s="4"/>
    </row>
    <row r="13658" spans="5:8" x14ac:dyDescent="0.25">
      <c r="E13658" s="34"/>
      <c r="G13658" s="34"/>
      <c r="H13658" s="4"/>
    </row>
    <row r="13659" spans="5:8" x14ac:dyDescent="0.25">
      <c r="E13659" s="34"/>
      <c r="G13659" s="34"/>
      <c r="H13659" s="4"/>
    </row>
    <row r="13660" spans="5:8" x14ac:dyDescent="0.25">
      <c r="E13660" s="34"/>
      <c r="G13660" s="34"/>
      <c r="H13660" s="4"/>
    </row>
    <row r="13661" spans="5:8" x14ac:dyDescent="0.25">
      <c r="E13661" s="34"/>
      <c r="G13661" s="34"/>
      <c r="H13661" s="4"/>
    </row>
    <row r="13662" spans="5:8" x14ac:dyDescent="0.25">
      <c r="E13662" s="34"/>
      <c r="G13662" s="34"/>
      <c r="H13662" s="4"/>
    </row>
    <row r="13663" spans="5:8" x14ac:dyDescent="0.25">
      <c r="E13663" s="34"/>
      <c r="G13663" s="34"/>
      <c r="H13663" s="4"/>
    </row>
    <row r="13664" spans="5:8" x14ac:dyDescent="0.25">
      <c r="E13664" s="34"/>
      <c r="G13664" s="34"/>
      <c r="H13664" s="4"/>
    </row>
    <row r="13665" spans="5:8" x14ac:dyDescent="0.25">
      <c r="E13665" s="34"/>
      <c r="G13665" s="34"/>
      <c r="H13665" s="4"/>
    </row>
    <row r="13666" spans="5:8" x14ac:dyDescent="0.25">
      <c r="E13666" s="34"/>
      <c r="G13666" s="34"/>
      <c r="H13666" s="4"/>
    </row>
    <row r="13667" spans="5:8" x14ac:dyDescent="0.25">
      <c r="E13667" s="34"/>
      <c r="G13667" s="34"/>
      <c r="H13667" s="4"/>
    </row>
    <row r="13668" spans="5:8" x14ac:dyDescent="0.25">
      <c r="E13668" s="34"/>
      <c r="G13668" s="34"/>
      <c r="H13668" s="4"/>
    </row>
    <row r="13669" spans="5:8" x14ac:dyDescent="0.25">
      <c r="E13669" s="34"/>
      <c r="G13669" s="34"/>
      <c r="H13669" s="4"/>
    </row>
    <row r="13670" spans="5:8" x14ac:dyDescent="0.25">
      <c r="E13670" s="34"/>
      <c r="G13670" s="34"/>
      <c r="H13670" s="4"/>
    </row>
    <row r="13671" spans="5:8" x14ac:dyDescent="0.25">
      <c r="E13671" s="34"/>
      <c r="G13671" s="34"/>
      <c r="H13671" s="4"/>
    </row>
    <row r="13672" spans="5:8" x14ac:dyDescent="0.25">
      <c r="E13672" s="34"/>
      <c r="G13672" s="34"/>
      <c r="H13672" s="4"/>
    </row>
    <row r="13673" spans="5:8" x14ac:dyDescent="0.25">
      <c r="E13673" s="34"/>
      <c r="G13673" s="34"/>
      <c r="H13673" s="4"/>
    </row>
    <row r="13674" spans="5:8" x14ac:dyDescent="0.25">
      <c r="E13674" s="34"/>
      <c r="G13674" s="34"/>
      <c r="H13674" s="4"/>
    </row>
    <row r="13675" spans="5:8" x14ac:dyDescent="0.25">
      <c r="E13675" s="34"/>
      <c r="G13675" s="34"/>
      <c r="H13675" s="4"/>
    </row>
    <row r="13676" spans="5:8" x14ac:dyDescent="0.25">
      <c r="E13676" s="34"/>
      <c r="G13676" s="34"/>
      <c r="H13676" s="4"/>
    </row>
    <row r="13677" spans="5:8" x14ac:dyDescent="0.25">
      <c r="E13677" s="34"/>
      <c r="G13677" s="34"/>
      <c r="H13677" s="4"/>
    </row>
    <row r="13678" spans="5:8" x14ac:dyDescent="0.25">
      <c r="E13678" s="34"/>
      <c r="G13678" s="34"/>
      <c r="H13678" s="4"/>
    </row>
    <row r="13679" spans="5:8" x14ac:dyDescent="0.25">
      <c r="E13679" s="34"/>
      <c r="G13679" s="34"/>
      <c r="H13679" s="4"/>
    </row>
    <row r="13680" spans="5:8" x14ac:dyDescent="0.25">
      <c r="E13680" s="34"/>
      <c r="G13680" s="34"/>
      <c r="H13680" s="4"/>
    </row>
    <row r="13681" spans="5:8" x14ac:dyDescent="0.25">
      <c r="E13681" s="34"/>
      <c r="G13681" s="34"/>
      <c r="H13681" s="4"/>
    </row>
    <row r="13682" spans="5:8" x14ac:dyDescent="0.25">
      <c r="E13682" s="34"/>
      <c r="G13682" s="34"/>
      <c r="H13682" s="4"/>
    </row>
    <row r="13683" spans="5:8" x14ac:dyDescent="0.25">
      <c r="E13683" s="34"/>
      <c r="G13683" s="34"/>
      <c r="H13683" s="4"/>
    </row>
    <row r="13684" spans="5:8" x14ac:dyDescent="0.25">
      <c r="E13684" s="34"/>
      <c r="G13684" s="34"/>
      <c r="H13684" s="4"/>
    </row>
    <row r="13685" spans="5:8" x14ac:dyDescent="0.25">
      <c r="E13685" s="34"/>
      <c r="G13685" s="34"/>
      <c r="H13685" s="4"/>
    </row>
    <row r="13686" spans="5:8" x14ac:dyDescent="0.25">
      <c r="E13686" s="34"/>
      <c r="G13686" s="34"/>
      <c r="H13686" s="4"/>
    </row>
    <row r="13687" spans="5:8" x14ac:dyDescent="0.25">
      <c r="E13687" s="34"/>
      <c r="G13687" s="34"/>
      <c r="H13687" s="4"/>
    </row>
    <row r="13688" spans="5:8" x14ac:dyDescent="0.25">
      <c r="E13688" s="34"/>
      <c r="G13688" s="34"/>
      <c r="H13688" s="4"/>
    </row>
    <row r="13689" spans="5:8" x14ac:dyDescent="0.25">
      <c r="E13689" s="34"/>
      <c r="G13689" s="34"/>
      <c r="H13689" s="4"/>
    </row>
    <row r="13690" spans="5:8" x14ac:dyDescent="0.25">
      <c r="E13690" s="34"/>
      <c r="G13690" s="34"/>
      <c r="H13690" s="4"/>
    </row>
    <row r="13691" spans="5:8" x14ac:dyDescent="0.25">
      <c r="E13691" s="34"/>
      <c r="G13691" s="34"/>
      <c r="H13691" s="4"/>
    </row>
    <row r="13692" spans="5:8" x14ac:dyDescent="0.25">
      <c r="E13692" s="34"/>
      <c r="G13692" s="34"/>
      <c r="H13692" s="4"/>
    </row>
    <row r="13693" spans="5:8" x14ac:dyDescent="0.25">
      <c r="E13693" s="34"/>
      <c r="G13693" s="34"/>
      <c r="H13693" s="4"/>
    </row>
    <row r="13694" spans="5:8" x14ac:dyDescent="0.25">
      <c r="E13694" s="34"/>
      <c r="G13694" s="34"/>
      <c r="H13694" s="4"/>
    </row>
    <row r="13695" spans="5:8" x14ac:dyDescent="0.25">
      <c r="E13695" s="34"/>
      <c r="G13695" s="34"/>
      <c r="H13695" s="4"/>
    </row>
    <row r="13696" spans="5:8" x14ac:dyDescent="0.25">
      <c r="E13696" s="34"/>
      <c r="G13696" s="34"/>
      <c r="H13696" s="4"/>
    </row>
    <row r="13697" spans="5:8" x14ac:dyDescent="0.25">
      <c r="E13697" s="34"/>
      <c r="G13697" s="34"/>
      <c r="H13697" s="4"/>
    </row>
    <row r="13698" spans="5:8" x14ac:dyDescent="0.25">
      <c r="E13698" s="34"/>
      <c r="G13698" s="34"/>
      <c r="H13698" s="4"/>
    </row>
    <row r="13699" spans="5:8" x14ac:dyDescent="0.25">
      <c r="E13699" s="34"/>
      <c r="G13699" s="34"/>
      <c r="H13699" s="4"/>
    </row>
    <row r="13700" spans="5:8" x14ac:dyDescent="0.25">
      <c r="E13700" s="34"/>
      <c r="G13700" s="34"/>
      <c r="H13700" s="4"/>
    </row>
    <row r="13701" spans="5:8" x14ac:dyDescent="0.25">
      <c r="E13701" s="34"/>
      <c r="G13701" s="34"/>
      <c r="H13701" s="4"/>
    </row>
    <row r="13702" spans="5:8" x14ac:dyDescent="0.25">
      <c r="E13702" s="34"/>
      <c r="G13702" s="34"/>
      <c r="H13702" s="4"/>
    </row>
    <row r="13703" spans="5:8" x14ac:dyDescent="0.25">
      <c r="E13703" s="34"/>
      <c r="G13703" s="34"/>
      <c r="H13703" s="4"/>
    </row>
    <row r="13704" spans="5:8" x14ac:dyDescent="0.25">
      <c r="E13704" s="34"/>
      <c r="G13704" s="34"/>
      <c r="H13704" s="4"/>
    </row>
    <row r="13705" spans="5:8" x14ac:dyDescent="0.25">
      <c r="E13705" s="34"/>
      <c r="G13705" s="34"/>
      <c r="H13705" s="4"/>
    </row>
    <row r="13706" spans="5:8" x14ac:dyDescent="0.25">
      <c r="E13706" s="34"/>
      <c r="G13706" s="34"/>
      <c r="H13706" s="4"/>
    </row>
    <row r="13707" spans="5:8" x14ac:dyDescent="0.25">
      <c r="E13707" s="34"/>
      <c r="G13707" s="34"/>
      <c r="H13707" s="4"/>
    </row>
    <row r="13708" spans="5:8" x14ac:dyDescent="0.25">
      <c r="E13708" s="34"/>
      <c r="G13708" s="34"/>
      <c r="H13708" s="4"/>
    </row>
    <row r="13709" spans="5:8" x14ac:dyDescent="0.25">
      <c r="E13709" s="34"/>
      <c r="G13709" s="34"/>
      <c r="H13709" s="4"/>
    </row>
    <row r="13710" spans="5:8" x14ac:dyDescent="0.25">
      <c r="E13710" s="34"/>
      <c r="G13710" s="34"/>
      <c r="H13710" s="4"/>
    </row>
    <row r="13711" spans="5:8" x14ac:dyDescent="0.25">
      <c r="E13711" s="34"/>
      <c r="G13711" s="34"/>
      <c r="H13711" s="4"/>
    </row>
    <row r="13712" spans="5:8" x14ac:dyDescent="0.25">
      <c r="E13712" s="34"/>
      <c r="G13712" s="34"/>
      <c r="H13712" s="4"/>
    </row>
    <row r="13713" spans="5:8" x14ac:dyDescent="0.25">
      <c r="E13713" s="34"/>
      <c r="G13713" s="34"/>
      <c r="H13713" s="4"/>
    </row>
    <row r="13714" spans="5:8" x14ac:dyDescent="0.25">
      <c r="E13714" s="34"/>
      <c r="G13714" s="34"/>
      <c r="H13714" s="4"/>
    </row>
    <row r="13715" spans="5:8" x14ac:dyDescent="0.25">
      <c r="E13715" s="34"/>
      <c r="G13715" s="34"/>
      <c r="H13715" s="4"/>
    </row>
    <row r="13716" spans="5:8" x14ac:dyDescent="0.25">
      <c r="E13716" s="34"/>
      <c r="G13716" s="34"/>
      <c r="H13716" s="4"/>
    </row>
    <row r="13717" spans="5:8" x14ac:dyDescent="0.25">
      <c r="E13717" s="34"/>
      <c r="G13717" s="34"/>
      <c r="H13717" s="4"/>
    </row>
    <row r="13718" spans="5:8" x14ac:dyDescent="0.25">
      <c r="E13718" s="34"/>
      <c r="G13718" s="34"/>
      <c r="H13718" s="4"/>
    </row>
    <row r="13719" spans="5:8" x14ac:dyDescent="0.25">
      <c r="E13719" s="34"/>
      <c r="G13719" s="34"/>
      <c r="H13719" s="4"/>
    </row>
    <row r="13720" spans="5:8" x14ac:dyDescent="0.25">
      <c r="E13720" s="34"/>
      <c r="G13720" s="34"/>
      <c r="H13720" s="4"/>
    </row>
    <row r="13721" spans="5:8" x14ac:dyDescent="0.25">
      <c r="E13721" s="34"/>
      <c r="G13721" s="34"/>
      <c r="H13721" s="4"/>
    </row>
    <row r="13722" spans="5:8" x14ac:dyDescent="0.25">
      <c r="E13722" s="34"/>
      <c r="G13722" s="34"/>
      <c r="H13722" s="4"/>
    </row>
    <row r="13723" spans="5:8" x14ac:dyDescent="0.25">
      <c r="E13723" s="34"/>
      <c r="G13723" s="34"/>
      <c r="H13723" s="4"/>
    </row>
    <row r="13724" spans="5:8" x14ac:dyDescent="0.25">
      <c r="E13724" s="34"/>
      <c r="G13724" s="34"/>
      <c r="H13724" s="4"/>
    </row>
    <row r="13725" spans="5:8" x14ac:dyDescent="0.25">
      <c r="E13725" s="34"/>
      <c r="G13725" s="34"/>
      <c r="H13725" s="4"/>
    </row>
    <row r="13726" spans="5:8" x14ac:dyDescent="0.25">
      <c r="E13726" s="34"/>
      <c r="G13726" s="34"/>
      <c r="H13726" s="4"/>
    </row>
    <row r="13727" spans="5:8" x14ac:dyDescent="0.25">
      <c r="E13727" s="34"/>
      <c r="G13727" s="34"/>
      <c r="H13727" s="4"/>
    </row>
    <row r="13728" spans="5:8" x14ac:dyDescent="0.25">
      <c r="E13728" s="34"/>
      <c r="G13728" s="34"/>
      <c r="H13728" s="4"/>
    </row>
    <row r="13729" spans="5:8" x14ac:dyDescent="0.25">
      <c r="E13729" s="34"/>
      <c r="G13729" s="34"/>
      <c r="H13729" s="4"/>
    </row>
    <row r="13730" spans="5:8" x14ac:dyDescent="0.25">
      <c r="E13730" s="34"/>
      <c r="G13730" s="34"/>
      <c r="H13730" s="4"/>
    </row>
    <row r="13731" spans="5:8" x14ac:dyDescent="0.25">
      <c r="E13731" s="34"/>
      <c r="G13731" s="34"/>
      <c r="H13731" s="4"/>
    </row>
    <row r="13732" spans="5:8" x14ac:dyDescent="0.25">
      <c r="E13732" s="34"/>
      <c r="G13732" s="34"/>
      <c r="H13732" s="4"/>
    </row>
    <row r="13733" spans="5:8" x14ac:dyDescent="0.25">
      <c r="E13733" s="34"/>
      <c r="G13733" s="34"/>
      <c r="H13733" s="4"/>
    </row>
    <row r="13734" spans="5:8" x14ac:dyDescent="0.25">
      <c r="E13734" s="34"/>
      <c r="G13734" s="34"/>
      <c r="H13734" s="4"/>
    </row>
    <row r="13735" spans="5:8" x14ac:dyDescent="0.25">
      <c r="E13735" s="34"/>
      <c r="G13735" s="34"/>
      <c r="H13735" s="4"/>
    </row>
    <row r="13736" spans="5:8" x14ac:dyDescent="0.25">
      <c r="E13736" s="34"/>
      <c r="G13736" s="34"/>
      <c r="H13736" s="4"/>
    </row>
    <row r="13737" spans="5:8" x14ac:dyDescent="0.25">
      <c r="E13737" s="34"/>
      <c r="G13737" s="34"/>
      <c r="H13737" s="4"/>
    </row>
    <row r="13738" spans="5:8" x14ac:dyDescent="0.25">
      <c r="E13738" s="34"/>
      <c r="G13738" s="34"/>
      <c r="H13738" s="4"/>
    </row>
    <row r="13739" spans="5:8" x14ac:dyDescent="0.25">
      <c r="E13739" s="34"/>
      <c r="G13739" s="34"/>
      <c r="H13739" s="4"/>
    </row>
    <row r="13740" spans="5:8" x14ac:dyDescent="0.25">
      <c r="E13740" s="34"/>
      <c r="G13740" s="34"/>
      <c r="H13740" s="4"/>
    </row>
    <row r="13741" spans="5:8" x14ac:dyDescent="0.25">
      <c r="E13741" s="34"/>
      <c r="G13741" s="34"/>
      <c r="H13741" s="4"/>
    </row>
    <row r="13742" spans="5:8" x14ac:dyDescent="0.25">
      <c r="E13742" s="34"/>
      <c r="G13742" s="34"/>
      <c r="H13742" s="4"/>
    </row>
    <row r="13743" spans="5:8" x14ac:dyDescent="0.25">
      <c r="E13743" s="34"/>
      <c r="G13743" s="34"/>
      <c r="H13743" s="4"/>
    </row>
    <row r="13744" spans="5:8" x14ac:dyDescent="0.25">
      <c r="E13744" s="34"/>
      <c r="G13744" s="34"/>
      <c r="H13744" s="4"/>
    </row>
    <row r="13745" spans="5:8" x14ac:dyDescent="0.25">
      <c r="E13745" s="34"/>
      <c r="G13745" s="34"/>
      <c r="H13745" s="4"/>
    </row>
    <row r="13746" spans="5:8" x14ac:dyDescent="0.25">
      <c r="E13746" s="34"/>
      <c r="G13746" s="34"/>
      <c r="H13746" s="4"/>
    </row>
    <row r="13747" spans="5:8" x14ac:dyDescent="0.25">
      <c r="E13747" s="34"/>
      <c r="G13747" s="34"/>
      <c r="H13747" s="4"/>
    </row>
    <row r="13748" spans="5:8" x14ac:dyDescent="0.25">
      <c r="E13748" s="34"/>
      <c r="G13748" s="34"/>
      <c r="H13748" s="4"/>
    </row>
    <row r="13749" spans="5:8" x14ac:dyDescent="0.25">
      <c r="E13749" s="34"/>
      <c r="G13749" s="34"/>
      <c r="H13749" s="4"/>
    </row>
    <row r="13750" spans="5:8" x14ac:dyDescent="0.25">
      <c r="E13750" s="34"/>
      <c r="G13750" s="34"/>
      <c r="H13750" s="4"/>
    </row>
    <row r="13751" spans="5:8" x14ac:dyDescent="0.25">
      <c r="E13751" s="34"/>
      <c r="G13751" s="34"/>
      <c r="H13751" s="4"/>
    </row>
    <row r="13752" spans="5:8" x14ac:dyDescent="0.25">
      <c r="E13752" s="34"/>
      <c r="G13752" s="34"/>
      <c r="H13752" s="4"/>
    </row>
    <row r="13753" spans="5:8" x14ac:dyDescent="0.25">
      <c r="E13753" s="34"/>
      <c r="G13753" s="34"/>
      <c r="H13753" s="4"/>
    </row>
    <row r="13754" spans="5:8" x14ac:dyDescent="0.25">
      <c r="E13754" s="34"/>
      <c r="G13754" s="34"/>
      <c r="H13754" s="4"/>
    </row>
    <row r="13755" spans="5:8" x14ac:dyDescent="0.25">
      <c r="E13755" s="34"/>
      <c r="G13755" s="34"/>
      <c r="H13755" s="4"/>
    </row>
    <row r="13756" spans="5:8" x14ac:dyDescent="0.25">
      <c r="E13756" s="34"/>
      <c r="G13756" s="34"/>
      <c r="H13756" s="4"/>
    </row>
    <row r="13757" spans="5:8" x14ac:dyDescent="0.25">
      <c r="E13757" s="34"/>
      <c r="G13757" s="34"/>
      <c r="H13757" s="4"/>
    </row>
    <row r="13758" spans="5:8" x14ac:dyDescent="0.25">
      <c r="E13758" s="34"/>
      <c r="G13758" s="34"/>
      <c r="H13758" s="4"/>
    </row>
    <row r="13759" spans="5:8" x14ac:dyDescent="0.25">
      <c r="E13759" s="34"/>
      <c r="G13759" s="34"/>
      <c r="H13759" s="4"/>
    </row>
    <row r="13760" spans="5:8" x14ac:dyDescent="0.25">
      <c r="E13760" s="34"/>
      <c r="G13760" s="34"/>
      <c r="H13760" s="4"/>
    </row>
    <row r="13761" spans="5:8" x14ac:dyDescent="0.25">
      <c r="E13761" s="34"/>
      <c r="G13761" s="34"/>
      <c r="H13761" s="4"/>
    </row>
    <row r="13762" spans="5:8" x14ac:dyDescent="0.25">
      <c r="E13762" s="34"/>
      <c r="G13762" s="34"/>
      <c r="H13762" s="4"/>
    </row>
    <row r="13763" spans="5:8" x14ac:dyDescent="0.25">
      <c r="E13763" s="34"/>
      <c r="G13763" s="34"/>
      <c r="H13763" s="4"/>
    </row>
    <row r="13764" spans="5:8" x14ac:dyDescent="0.25">
      <c r="E13764" s="34"/>
      <c r="G13764" s="34"/>
      <c r="H13764" s="4"/>
    </row>
    <row r="13765" spans="5:8" x14ac:dyDescent="0.25">
      <c r="E13765" s="34"/>
      <c r="G13765" s="34"/>
      <c r="H13765" s="4"/>
    </row>
    <row r="13766" spans="5:8" x14ac:dyDescent="0.25">
      <c r="E13766" s="34"/>
      <c r="G13766" s="34"/>
      <c r="H13766" s="4"/>
    </row>
    <row r="13767" spans="5:8" x14ac:dyDescent="0.25">
      <c r="E13767" s="34"/>
      <c r="G13767" s="34"/>
      <c r="H13767" s="4"/>
    </row>
    <row r="13768" spans="5:8" x14ac:dyDescent="0.25">
      <c r="E13768" s="34"/>
      <c r="G13768" s="34"/>
      <c r="H13768" s="4"/>
    </row>
    <row r="13769" spans="5:8" x14ac:dyDescent="0.25">
      <c r="E13769" s="34"/>
      <c r="G13769" s="34"/>
      <c r="H13769" s="4"/>
    </row>
    <row r="13770" spans="5:8" x14ac:dyDescent="0.25">
      <c r="E13770" s="34"/>
      <c r="G13770" s="34"/>
      <c r="H13770" s="4"/>
    </row>
    <row r="13771" spans="5:8" x14ac:dyDescent="0.25">
      <c r="E13771" s="34"/>
      <c r="G13771" s="34"/>
      <c r="H13771" s="4"/>
    </row>
    <row r="13772" spans="5:8" x14ac:dyDescent="0.25">
      <c r="E13772" s="34"/>
      <c r="G13772" s="34"/>
      <c r="H13772" s="4"/>
    </row>
    <row r="13773" spans="5:8" x14ac:dyDescent="0.25">
      <c r="E13773" s="34"/>
      <c r="G13773" s="34"/>
      <c r="H13773" s="4"/>
    </row>
    <row r="13774" spans="5:8" x14ac:dyDescent="0.25">
      <c r="E13774" s="34"/>
      <c r="G13774" s="34"/>
      <c r="H13774" s="4"/>
    </row>
    <row r="13775" spans="5:8" x14ac:dyDescent="0.25">
      <c r="E13775" s="34"/>
      <c r="G13775" s="34"/>
      <c r="H13775" s="4"/>
    </row>
    <row r="13776" spans="5:8" x14ac:dyDescent="0.25">
      <c r="E13776" s="34"/>
      <c r="G13776" s="34"/>
      <c r="H13776" s="4"/>
    </row>
    <row r="13777" spans="5:8" x14ac:dyDescent="0.25">
      <c r="E13777" s="34"/>
      <c r="G13777" s="34"/>
      <c r="H13777" s="4"/>
    </row>
    <row r="13778" spans="5:8" x14ac:dyDescent="0.25">
      <c r="E13778" s="34"/>
      <c r="G13778" s="34"/>
      <c r="H13778" s="4"/>
    </row>
    <row r="13779" spans="5:8" x14ac:dyDescent="0.25">
      <c r="E13779" s="34"/>
      <c r="G13779" s="34"/>
      <c r="H13779" s="4"/>
    </row>
    <row r="13780" spans="5:8" x14ac:dyDescent="0.25">
      <c r="E13780" s="34"/>
      <c r="G13780" s="34"/>
      <c r="H13780" s="4"/>
    </row>
    <row r="13781" spans="5:8" x14ac:dyDescent="0.25">
      <c r="E13781" s="34"/>
      <c r="G13781" s="34"/>
      <c r="H13781" s="4"/>
    </row>
    <row r="13782" spans="5:8" x14ac:dyDescent="0.25">
      <c r="E13782" s="34"/>
      <c r="G13782" s="34"/>
      <c r="H13782" s="4"/>
    </row>
    <row r="13783" spans="5:8" x14ac:dyDescent="0.25">
      <c r="E13783" s="34"/>
      <c r="G13783" s="34"/>
      <c r="H13783" s="4"/>
    </row>
    <row r="13784" spans="5:8" x14ac:dyDescent="0.25">
      <c r="E13784" s="34"/>
      <c r="G13784" s="34"/>
      <c r="H13784" s="4"/>
    </row>
    <row r="13785" spans="5:8" x14ac:dyDescent="0.25">
      <c r="E13785" s="34"/>
      <c r="G13785" s="34"/>
      <c r="H13785" s="4"/>
    </row>
    <row r="13786" spans="5:8" x14ac:dyDescent="0.25">
      <c r="E13786" s="34"/>
      <c r="G13786" s="34"/>
      <c r="H13786" s="4"/>
    </row>
    <row r="13787" spans="5:8" x14ac:dyDescent="0.25">
      <c r="E13787" s="34"/>
      <c r="G13787" s="34"/>
      <c r="H13787" s="4"/>
    </row>
    <row r="13788" spans="5:8" x14ac:dyDescent="0.25">
      <c r="E13788" s="34"/>
      <c r="G13788" s="34"/>
      <c r="H13788" s="4"/>
    </row>
    <row r="13789" spans="5:8" x14ac:dyDescent="0.25">
      <c r="E13789" s="34"/>
      <c r="G13789" s="34"/>
      <c r="H13789" s="4"/>
    </row>
    <row r="13790" spans="5:8" x14ac:dyDescent="0.25">
      <c r="E13790" s="34"/>
      <c r="G13790" s="34"/>
      <c r="H13790" s="4"/>
    </row>
    <row r="13791" spans="5:8" x14ac:dyDescent="0.25">
      <c r="E13791" s="34"/>
      <c r="G13791" s="34"/>
      <c r="H13791" s="4"/>
    </row>
    <row r="13792" spans="5:8" x14ac:dyDescent="0.25">
      <c r="E13792" s="34"/>
      <c r="G13792" s="34"/>
      <c r="H13792" s="4"/>
    </row>
    <row r="13793" spans="5:8" x14ac:dyDescent="0.25">
      <c r="E13793" s="34"/>
      <c r="G13793" s="34"/>
      <c r="H13793" s="4"/>
    </row>
    <row r="13794" spans="5:8" x14ac:dyDescent="0.25">
      <c r="E13794" s="34"/>
      <c r="G13794" s="34"/>
      <c r="H13794" s="4"/>
    </row>
    <row r="13795" spans="5:8" x14ac:dyDescent="0.25">
      <c r="E13795" s="34"/>
      <c r="G13795" s="34"/>
      <c r="H13795" s="4"/>
    </row>
    <row r="13796" spans="5:8" x14ac:dyDescent="0.25">
      <c r="E13796" s="34"/>
      <c r="G13796" s="34"/>
      <c r="H13796" s="4"/>
    </row>
    <row r="13797" spans="5:8" x14ac:dyDescent="0.25">
      <c r="E13797" s="34"/>
      <c r="G13797" s="34"/>
      <c r="H13797" s="4"/>
    </row>
    <row r="13798" spans="5:8" x14ac:dyDescent="0.25">
      <c r="E13798" s="34"/>
      <c r="G13798" s="34"/>
      <c r="H13798" s="4"/>
    </row>
    <row r="13799" spans="5:8" x14ac:dyDescent="0.25">
      <c r="E13799" s="34"/>
      <c r="G13799" s="34"/>
      <c r="H13799" s="4"/>
    </row>
    <row r="13800" spans="5:8" x14ac:dyDescent="0.25">
      <c r="E13800" s="34"/>
      <c r="G13800" s="34"/>
      <c r="H13800" s="4"/>
    </row>
    <row r="13801" spans="5:8" x14ac:dyDescent="0.25">
      <c r="E13801" s="34"/>
      <c r="G13801" s="34"/>
      <c r="H13801" s="4"/>
    </row>
    <row r="13802" spans="5:8" x14ac:dyDescent="0.25">
      <c r="E13802" s="34"/>
      <c r="G13802" s="34"/>
      <c r="H13802" s="4"/>
    </row>
    <row r="13803" spans="5:8" x14ac:dyDescent="0.25">
      <c r="E13803" s="34"/>
      <c r="G13803" s="34"/>
      <c r="H13803" s="4"/>
    </row>
    <row r="13804" spans="5:8" x14ac:dyDescent="0.25">
      <c r="E13804" s="34"/>
      <c r="G13804" s="34"/>
      <c r="H13804" s="4"/>
    </row>
    <row r="13805" spans="5:8" x14ac:dyDescent="0.25">
      <c r="E13805" s="34"/>
      <c r="G13805" s="34"/>
      <c r="H13805" s="4"/>
    </row>
    <row r="13806" spans="5:8" x14ac:dyDescent="0.25">
      <c r="E13806" s="34"/>
      <c r="G13806" s="34"/>
      <c r="H13806" s="4"/>
    </row>
    <row r="13807" spans="5:8" x14ac:dyDescent="0.25">
      <c r="E13807" s="34"/>
      <c r="G13807" s="34"/>
      <c r="H13807" s="4"/>
    </row>
    <row r="13808" spans="5:8" x14ac:dyDescent="0.25">
      <c r="E13808" s="34"/>
      <c r="G13808" s="34"/>
      <c r="H13808" s="4"/>
    </row>
    <row r="13809" spans="5:8" x14ac:dyDescent="0.25">
      <c r="E13809" s="34"/>
      <c r="G13809" s="34"/>
      <c r="H13809" s="4"/>
    </row>
    <row r="13810" spans="5:8" x14ac:dyDescent="0.25">
      <c r="E13810" s="34"/>
      <c r="G13810" s="34"/>
      <c r="H13810" s="4"/>
    </row>
    <row r="13811" spans="5:8" x14ac:dyDescent="0.25">
      <c r="E13811" s="34"/>
      <c r="G13811" s="34"/>
      <c r="H13811" s="4"/>
    </row>
    <row r="13812" spans="5:8" x14ac:dyDescent="0.25">
      <c r="E13812" s="34"/>
      <c r="G13812" s="34"/>
      <c r="H13812" s="4"/>
    </row>
    <row r="13813" spans="5:8" x14ac:dyDescent="0.25">
      <c r="E13813" s="34"/>
      <c r="G13813" s="34"/>
      <c r="H13813" s="4"/>
    </row>
    <row r="13814" spans="5:8" x14ac:dyDescent="0.25">
      <c r="E13814" s="34"/>
      <c r="G13814" s="34"/>
      <c r="H13814" s="4"/>
    </row>
    <row r="13815" spans="5:8" x14ac:dyDescent="0.25">
      <c r="E13815" s="34"/>
      <c r="G13815" s="34"/>
      <c r="H13815" s="4"/>
    </row>
    <row r="13816" spans="5:8" x14ac:dyDescent="0.25">
      <c r="E13816" s="34"/>
      <c r="G13816" s="34"/>
      <c r="H13816" s="4"/>
    </row>
    <row r="13817" spans="5:8" x14ac:dyDescent="0.25">
      <c r="E13817" s="34"/>
      <c r="G13817" s="34"/>
      <c r="H13817" s="4"/>
    </row>
    <row r="13818" spans="5:8" x14ac:dyDescent="0.25">
      <c r="E13818" s="34"/>
      <c r="G13818" s="34"/>
      <c r="H13818" s="4"/>
    </row>
    <row r="13819" spans="5:8" x14ac:dyDescent="0.25">
      <c r="E13819" s="34"/>
      <c r="G13819" s="34"/>
      <c r="H13819" s="4"/>
    </row>
    <row r="13820" spans="5:8" x14ac:dyDescent="0.25">
      <c r="E13820" s="34"/>
      <c r="G13820" s="34"/>
      <c r="H13820" s="4"/>
    </row>
    <row r="13821" spans="5:8" x14ac:dyDescent="0.25">
      <c r="E13821" s="34"/>
      <c r="G13821" s="34"/>
      <c r="H13821" s="4"/>
    </row>
    <row r="13822" spans="5:8" x14ac:dyDescent="0.25">
      <c r="E13822" s="34"/>
      <c r="G13822" s="34"/>
      <c r="H13822" s="4"/>
    </row>
    <row r="13823" spans="5:8" x14ac:dyDescent="0.25">
      <c r="E13823" s="34"/>
      <c r="G13823" s="34"/>
      <c r="H13823" s="4"/>
    </row>
    <row r="13824" spans="5:8" x14ac:dyDescent="0.25">
      <c r="E13824" s="34"/>
      <c r="G13824" s="34"/>
      <c r="H13824" s="4"/>
    </row>
    <row r="13825" spans="5:8" x14ac:dyDescent="0.25">
      <c r="E13825" s="34"/>
      <c r="G13825" s="34"/>
      <c r="H13825" s="4"/>
    </row>
    <row r="13826" spans="5:8" x14ac:dyDescent="0.25">
      <c r="E13826" s="34"/>
      <c r="G13826" s="34"/>
      <c r="H13826" s="4"/>
    </row>
    <row r="13827" spans="5:8" x14ac:dyDescent="0.25">
      <c r="E13827" s="34"/>
      <c r="G13827" s="34"/>
      <c r="H13827" s="4"/>
    </row>
    <row r="13828" spans="5:8" x14ac:dyDescent="0.25">
      <c r="E13828" s="34"/>
      <c r="G13828" s="34"/>
      <c r="H13828" s="4"/>
    </row>
    <row r="13829" spans="5:8" x14ac:dyDescent="0.25">
      <c r="E13829" s="34"/>
      <c r="G13829" s="34"/>
      <c r="H13829" s="4"/>
    </row>
    <row r="13830" spans="5:8" x14ac:dyDescent="0.25">
      <c r="E13830" s="34"/>
      <c r="G13830" s="34"/>
      <c r="H13830" s="4"/>
    </row>
    <row r="13831" spans="5:8" x14ac:dyDescent="0.25">
      <c r="E13831" s="34"/>
      <c r="G13831" s="34"/>
      <c r="H13831" s="4"/>
    </row>
    <row r="13832" spans="5:8" x14ac:dyDescent="0.25">
      <c r="E13832" s="34"/>
      <c r="G13832" s="34"/>
      <c r="H13832" s="4"/>
    </row>
    <row r="13833" spans="5:8" x14ac:dyDescent="0.25">
      <c r="E13833" s="34"/>
      <c r="G13833" s="34"/>
      <c r="H13833" s="4"/>
    </row>
    <row r="13834" spans="5:8" x14ac:dyDescent="0.25">
      <c r="E13834" s="34"/>
      <c r="G13834" s="34"/>
      <c r="H13834" s="4"/>
    </row>
    <row r="13835" spans="5:8" x14ac:dyDescent="0.25">
      <c r="E13835" s="34"/>
      <c r="G13835" s="34"/>
      <c r="H13835" s="4"/>
    </row>
    <row r="13836" spans="5:8" x14ac:dyDescent="0.25">
      <c r="E13836" s="34"/>
      <c r="G13836" s="34"/>
      <c r="H13836" s="4"/>
    </row>
    <row r="13837" spans="5:8" x14ac:dyDescent="0.25">
      <c r="E13837" s="34"/>
      <c r="G13837" s="34"/>
      <c r="H13837" s="4"/>
    </row>
    <row r="13838" spans="5:8" x14ac:dyDescent="0.25">
      <c r="E13838" s="34"/>
      <c r="G13838" s="34"/>
      <c r="H13838" s="4"/>
    </row>
    <row r="13839" spans="5:8" x14ac:dyDescent="0.25">
      <c r="E13839" s="34"/>
      <c r="G13839" s="34"/>
      <c r="H13839" s="4"/>
    </row>
    <row r="13840" spans="5:8" x14ac:dyDescent="0.25">
      <c r="E13840" s="34"/>
      <c r="G13840" s="34"/>
      <c r="H13840" s="4"/>
    </row>
    <row r="13841" spans="5:8" x14ac:dyDescent="0.25">
      <c r="E13841" s="34"/>
      <c r="G13841" s="34"/>
      <c r="H13841" s="4"/>
    </row>
    <row r="13842" spans="5:8" x14ac:dyDescent="0.25">
      <c r="E13842" s="34"/>
      <c r="G13842" s="34"/>
      <c r="H13842" s="4"/>
    </row>
    <row r="13843" spans="5:8" x14ac:dyDescent="0.25">
      <c r="E13843" s="34"/>
      <c r="G13843" s="34"/>
      <c r="H13843" s="4"/>
    </row>
    <row r="13844" spans="5:8" x14ac:dyDescent="0.25">
      <c r="E13844" s="34"/>
      <c r="G13844" s="34"/>
      <c r="H13844" s="4"/>
    </row>
    <row r="13845" spans="5:8" x14ac:dyDescent="0.25">
      <c r="E13845" s="34"/>
      <c r="G13845" s="34"/>
      <c r="H13845" s="4"/>
    </row>
    <row r="13846" spans="5:8" x14ac:dyDescent="0.25">
      <c r="E13846" s="34"/>
      <c r="G13846" s="34"/>
      <c r="H13846" s="4"/>
    </row>
    <row r="13847" spans="5:8" x14ac:dyDescent="0.25">
      <c r="E13847" s="34"/>
      <c r="G13847" s="34"/>
      <c r="H13847" s="4"/>
    </row>
    <row r="13848" spans="5:8" x14ac:dyDescent="0.25">
      <c r="E13848" s="34"/>
      <c r="G13848" s="34"/>
      <c r="H13848" s="4"/>
    </row>
    <row r="13849" spans="5:8" x14ac:dyDescent="0.25">
      <c r="E13849" s="34"/>
      <c r="G13849" s="34"/>
      <c r="H13849" s="4"/>
    </row>
    <row r="13850" spans="5:8" x14ac:dyDescent="0.25">
      <c r="E13850" s="34"/>
      <c r="G13850" s="34"/>
      <c r="H13850" s="4"/>
    </row>
    <row r="13851" spans="5:8" x14ac:dyDescent="0.25">
      <c r="E13851" s="34"/>
      <c r="G13851" s="34"/>
      <c r="H13851" s="4"/>
    </row>
    <row r="13852" spans="5:8" x14ac:dyDescent="0.25">
      <c r="E13852" s="34"/>
      <c r="G13852" s="34"/>
      <c r="H13852" s="4"/>
    </row>
    <row r="13853" spans="5:8" x14ac:dyDescent="0.25">
      <c r="E13853" s="34"/>
      <c r="G13853" s="34"/>
      <c r="H13853" s="4"/>
    </row>
    <row r="13854" spans="5:8" x14ac:dyDescent="0.25">
      <c r="E13854" s="34"/>
      <c r="G13854" s="34"/>
      <c r="H13854" s="4"/>
    </row>
    <row r="13855" spans="5:8" x14ac:dyDescent="0.25">
      <c r="E13855" s="34"/>
      <c r="G13855" s="34"/>
      <c r="H13855" s="4"/>
    </row>
    <row r="13856" spans="5:8" x14ac:dyDescent="0.25">
      <c r="E13856" s="34"/>
      <c r="G13856" s="34"/>
      <c r="H13856" s="4"/>
    </row>
    <row r="13857" spans="5:8" x14ac:dyDescent="0.25">
      <c r="E13857" s="34"/>
      <c r="G13857" s="34"/>
      <c r="H13857" s="4"/>
    </row>
    <row r="13858" spans="5:8" x14ac:dyDescent="0.25">
      <c r="E13858" s="34"/>
      <c r="G13858" s="34"/>
      <c r="H13858" s="4"/>
    </row>
    <row r="13859" spans="5:8" x14ac:dyDescent="0.25">
      <c r="E13859" s="34"/>
      <c r="G13859" s="34"/>
      <c r="H13859" s="4"/>
    </row>
    <row r="13860" spans="5:8" x14ac:dyDescent="0.25">
      <c r="E13860" s="34"/>
      <c r="G13860" s="34"/>
      <c r="H13860" s="4"/>
    </row>
    <row r="13861" spans="5:8" x14ac:dyDescent="0.25">
      <c r="E13861" s="34"/>
      <c r="G13861" s="34"/>
      <c r="H13861" s="4"/>
    </row>
    <row r="13862" spans="5:8" x14ac:dyDescent="0.25">
      <c r="E13862" s="34"/>
      <c r="G13862" s="34"/>
      <c r="H13862" s="4"/>
    </row>
    <row r="13863" spans="5:8" x14ac:dyDescent="0.25">
      <c r="E13863" s="34"/>
      <c r="G13863" s="34"/>
      <c r="H13863" s="4"/>
    </row>
    <row r="13864" spans="5:8" x14ac:dyDescent="0.25">
      <c r="E13864" s="34"/>
      <c r="G13864" s="34"/>
      <c r="H13864" s="4"/>
    </row>
    <row r="13865" spans="5:8" x14ac:dyDescent="0.25">
      <c r="E13865" s="34"/>
      <c r="G13865" s="34"/>
      <c r="H13865" s="4"/>
    </row>
    <row r="13866" spans="5:8" x14ac:dyDescent="0.25">
      <c r="E13866" s="34"/>
      <c r="G13866" s="34"/>
      <c r="H13866" s="4"/>
    </row>
    <row r="13867" spans="5:8" x14ac:dyDescent="0.25">
      <c r="E13867" s="34"/>
      <c r="G13867" s="34"/>
      <c r="H13867" s="4"/>
    </row>
    <row r="13868" spans="5:8" x14ac:dyDescent="0.25">
      <c r="E13868" s="34"/>
      <c r="G13868" s="34"/>
      <c r="H13868" s="4"/>
    </row>
    <row r="13869" spans="5:8" x14ac:dyDescent="0.25">
      <c r="E13869" s="34"/>
      <c r="G13869" s="34"/>
      <c r="H13869" s="4"/>
    </row>
    <row r="13870" spans="5:8" x14ac:dyDescent="0.25">
      <c r="E13870" s="34"/>
      <c r="G13870" s="34"/>
      <c r="H13870" s="4"/>
    </row>
    <row r="13871" spans="5:8" x14ac:dyDescent="0.25">
      <c r="E13871" s="34"/>
      <c r="G13871" s="34"/>
      <c r="H13871" s="4"/>
    </row>
    <row r="13872" spans="5:8" x14ac:dyDescent="0.25">
      <c r="E13872" s="34"/>
      <c r="G13872" s="34"/>
      <c r="H13872" s="4"/>
    </row>
    <row r="13873" spans="5:8" x14ac:dyDescent="0.25">
      <c r="E13873" s="34"/>
      <c r="G13873" s="34"/>
      <c r="H13873" s="4"/>
    </row>
    <row r="13874" spans="5:8" x14ac:dyDescent="0.25">
      <c r="E13874" s="34"/>
      <c r="G13874" s="34"/>
      <c r="H13874" s="4"/>
    </row>
    <row r="13875" spans="5:8" x14ac:dyDescent="0.25">
      <c r="E13875" s="34"/>
      <c r="G13875" s="34"/>
      <c r="H13875" s="4"/>
    </row>
    <row r="13876" spans="5:8" x14ac:dyDescent="0.25">
      <c r="E13876" s="34"/>
      <c r="G13876" s="34"/>
      <c r="H13876" s="4"/>
    </row>
    <row r="13877" spans="5:8" x14ac:dyDescent="0.25">
      <c r="E13877" s="34"/>
      <c r="G13877" s="34"/>
      <c r="H13877" s="4"/>
    </row>
    <row r="13878" spans="5:8" x14ac:dyDescent="0.25">
      <c r="E13878" s="34"/>
      <c r="G13878" s="34"/>
      <c r="H13878" s="4"/>
    </row>
    <row r="13879" spans="5:8" x14ac:dyDescent="0.25">
      <c r="E13879" s="34"/>
      <c r="G13879" s="34"/>
      <c r="H13879" s="4"/>
    </row>
    <row r="13880" spans="5:8" x14ac:dyDescent="0.25">
      <c r="E13880" s="34"/>
      <c r="G13880" s="34"/>
      <c r="H13880" s="4"/>
    </row>
    <row r="13881" spans="5:8" x14ac:dyDescent="0.25">
      <c r="E13881" s="34"/>
      <c r="G13881" s="34"/>
      <c r="H13881" s="4"/>
    </row>
    <row r="13882" spans="5:8" x14ac:dyDescent="0.25">
      <c r="E13882" s="34"/>
      <c r="G13882" s="34"/>
      <c r="H13882" s="4"/>
    </row>
    <row r="13883" spans="5:8" x14ac:dyDescent="0.25">
      <c r="E13883" s="34"/>
      <c r="G13883" s="34"/>
      <c r="H13883" s="4"/>
    </row>
    <row r="13884" spans="5:8" x14ac:dyDescent="0.25">
      <c r="E13884" s="34"/>
      <c r="G13884" s="34"/>
      <c r="H13884" s="4"/>
    </row>
    <row r="13885" spans="5:8" x14ac:dyDescent="0.25">
      <c r="E13885" s="34"/>
      <c r="G13885" s="34"/>
      <c r="H13885" s="4"/>
    </row>
    <row r="13886" spans="5:8" x14ac:dyDescent="0.25">
      <c r="E13886" s="34"/>
      <c r="G13886" s="34"/>
      <c r="H13886" s="4"/>
    </row>
    <row r="13887" spans="5:8" x14ac:dyDescent="0.25">
      <c r="E13887" s="34"/>
      <c r="G13887" s="34"/>
      <c r="H13887" s="4"/>
    </row>
    <row r="13888" spans="5:8" x14ac:dyDescent="0.25">
      <c r="E13888" s="34"/>
      <c r="G13888" s="34"/>
      <c r="H13888" s="4"/>
    </row>
    <row r="13889" spans="5:8" x14ac:dyDescent="0.25">
      <c r="E13889" s="34"/>
      <c r="G13889" s="34"/>
      <c r="H13889" s="4"/>
    </row>
    <row r="13890" spans="5:8" x14ac:dyDescent="0.25">
      <c r="E13890" s="34"/>
      <c r="G13890" s="34"/>
      <c r="H13890" s="4"/>
    </row>
    <row r="13891" spans="5:8" x14ac:dyDescent="0.25">
      <c r="E13891" s="34"/>
      <c r="G13891" s="34"/>
      <c r="H13891" s="4"/>
    </row>
    <row r="13892" spans="5:8" x14ac:dyDescent="0.25">
      <c r="E13892" s="34"/>
      <c r="G13892" s="34"/>
      <c r="H13892" s="4"/>
    </row>
    <row r="13893" spans="5:8" x14ac:dyDescent="0.25">
      <c r="E13893" s="34"/>
      <c r="G13893" s="34"/>
      <c r="H13893" s="4"/>
    </row>
    <row r="13894" spans="5:8" x14ac:dyDescent="0.25">
      <c r="E13894" s="34"/>
      <c r="G13894" s="34"/>
      <c r="H13894" s="4"/>
    </row>
    <row r="13895" spans="5:8" x14ac:dyDescent="0.25">
      <c r="E13895" s="34"/>
      <c r="G13895" s="34"/>
      <c r="H13895" s="4"/>
    </row>
    <row r="13896" spans="5:8" x14ac:dyDescent="0.25">
      <c r="E13896" s="34"/>
      <c r="G13896" s="34"/>
      <c r="H13896" s="4"/>
    </row>
    <row r="13897" spans="5:8" x14ac:dyDescent="0.25">
      <c r="E13897" s="34"/>
      <c r="G13897" s="34"/>
      <c r="H13897" s="4"/>
    </row>
    <row r="13898" spans="5:8" x14ac:dyDescent="0.25">
      <c r="E13898" s="34"/>
      <c r="G13898" s="34"/>
      <c r="H13898" s="4"/>
    </row>
    <row r="13899" spans="5:8" x14ac:dyDescent="0.25">
      <c r="E13899" s="34"/>
      <c r="G13899" s="34"/>
      <c r="H13899" s="4"/>
    </row>
    <row r="13900" spans="5:8" x14ac:dyDescent="0.25">
      <c r="E13900" s="34"/>
      <c r="G13900" s="34"/>
      <c r="H13900" s="4"/>
    </row>
    <row r="13901" spans="5:8" x14ac:dyDescent="0.25">
      <c r="E13901" s="34"/>
      <c r="G13901" s="34"/>
      <c r="H13901" s="4"/>
    </row>
    <row r="13902" spans="5:8" x14ac:dyDescent="0.25">
      <c r="E13902" s="34"/>
      <c r="G13902" s="34"/>
      <c r="H13902" s="4"/>
    </row>
    <row r="13903" spans="5:8" x14ac:dyDescent="0.25">
      <c r="E13903" s="34"/>
      <c r="G13903" s="34"/>
      <c r="H13903" s="4"/>
    </row>
    <row r="13904" spans="5:8" x14ac:dyDescent="0.25">
      <c r="E13904" s="34"/>
      <c r="G13904" s="34"/>
      <c r="H13904" s="4"/>
    </row>
    <row r="13905" spans="5:8" x14ac:dyDescent="0.25">
      <c r="E13905" s="34"/>
      <c r="G13905" s="34"/>
      <c r="H13905" s="4"/>
    </row>
    <row r="13906" spans="5:8" x14ac:dyDescent="0.25">
      <c r="E13906" s="34"/>
      <c r="G13906" s="34"/>
      <c r="H13906" s="4"/>
    </row>
    <row r="13907" spans="5:8" x14ac:dyDescent="0.25">
      <c r="E13907" s="34"/>
      <c r="G13907" s="34"/>
      <c r="H13907" s="4"/>
    </row>
    <row r="13908" spans="5:8" x14ac:dyDescent="0.25">
      <c r="E13908" s="34"/>
      <c r="G13908" s="34"/>
      <c r="H13908" s="4"/>
    </row>
    <row r="13909" spans="5:8" x14ac:dyDescent="0.25">
      <c r="E13909" s="34"/>
      <c r="G13909" s="34"/>
      <c r="H13909" s="4"/>
    </row>
    <row r="13910" spans="5:8" x14ac:dyDescent="0.25">
      <c r="E13910" s="34"/>
      <c r="G13910" s="34"/>
      <c r="H13910" s="4"/>
    </row>
    <row r="13911" spans="5:8" x14ac:dyDescent="0.25">
      <c r="E13911" s="34"/>
      <c r="G13911" s="34"/>
      <c r="H13911" s="4"/>
    </row>
    <row r="13912" spans="5:8" x14ac:dyDescent="0.25">
      <c r="E13912" s="34"/>
      <c r="G13912" s="34"/>
      <c r="H13912" s="4"/>
    </row>
    <row r="13913" spans="5:8" x14ac:dyDescent="0.25">
      <c r="E13913" s="34"/>
      <c r="G13913" s="34"/>
      <c r="H13913" s="4"/>
    </row>
    <row r="13914" spans="5:8" x14ac:dyDescent="0.25">
      <c r="E13914" s="34"/>
      <c r="G13914" s="34"/>
      <c r="H13914" s="4"/>
    </row>
    <row r="13915" spans="5:8" x14ac:dyDescent="0.25">
      <c r="E13915" s="34"/>
      <c r="G13915" s="34"/>
      <c r="H13915" s="4"/>
    </row>
    <row r="13916" spans="5:8" x14ac:dyDescent="0.25">
      <c r="E13916" s="34"/>
      <c r="G13916" s="34"/>
      <c r="H13916" s="4"/>
    </row>
    <row r="13917" spans="5:8" x14ac:dyDescent="0.25">
      <c r="E13917" s="34"/>
      <c r="G13917" s="34"/>
      <c r="H13917" s="4"/>
    </row>
    <row r="13918" spans="5:8" x14ac:dyDescent="0.25">
      <c r="E13918" s="34"/>
      <c r="G13918" s="34"/>
      <c r="H13918" s="4"/>
    </row>
    <row r="13919" spans="5:8" x14ac:dyDescent="0.25">
      <c r="E13919" s="34"/>
      <c r="G13919" s="34"/>
      <c r="H13919" s="4"/>
    </row>
    <row r="13920" spans="5:8" x14ac:dyDescent="0.25">
      <c r="E13920" s="34"/>
      <c r="G13920" s="34"/>
      <c r="H13920" s="4"/>
    </row>
    <row r="13921" spans="5:8" x14ac:dyDescent="0.25">
      <c r="E13921" s="34"/>
      <c r="G13921" s="34"/>
      <c r="H13921" s="4"/>
    </row>
    <row r="13922" spans="5:8" x14ac:dyDescent="0.25">
      <c r="E13922" s="34"/>
      <c r="G13922" s="34"/>
      <c r="H13922" s="4"/>
    </row>
    <row r="13923" spans="5:8" x14ac:dyDescent="0.25">
      <c r="E13923" s="34"/>
      <c r="G13923" s="34"/>
      <c r="H13923" s="4"/>
    </row>
    <row r="13924" spans="5:8" x14ac:dyDescent="0.25">
      <c r="E13924" s="34"/>
      <c r="G13924" s="34"/>
      <c r="H13924" s="4"/>
    </row>
    <row r="13925" spans="5:8" x14ac:dyDescent="0.25">
      <c r="E13925" s="34"/>
      <c r="G13925" s="34"/>
      <c r="H13925" s="4"/>
    </row>
    <row r="13926" spans="5:8" x14ac:dyDescent="0.25">
      <c r="E13926" s="34"/>
      <c r="G13926" s="34"/>
      <c r="H13926" s="4"/>
    </row>
    <row r="13927" spans="5:8" x14ac:dyDescent="0.25">
      <c r="E13927" s="34"/>
      <c r="G13927" s="34"/>
      <c r="H13927" s="4"/>
    </row>
    <row r="13928" spans="5:8" x14ac:dyDescent="0.25">
      <c r="E13928" s="34"/>
      <c r="G13928" s="34"/>
      <c r="H13928" s="4"/>
    </row>
    <row r="13929" spans="5:8" x14ac:dyDescent="0.25">
      <c r="E13929" s="34"/>
      <c r="G13929" s="34"/>
      <c r="H13929" s="4"/>
    </row>
    <row r="13930" spans="5:8" x14ac:dyDescent="0.25">
      <c r="E13930" s="34"/>
      <c r="G13930" s="34"/>
      <c r="H13930" s="4"/>
    </row>
    <row r="13931" spans="5:8" x14ac:dyDescent="0.25">
      <c r="E13931" s="34"/>
      <c r="G13931" s="34"/>
      <c r="H13931" s="4"/>
    </row>
    <row r="13932" spans="5:8" x14ac:dyDescent="0.25">
      <c r="E13932" s="34"/>
      <c r="G13932" s="34"/>
      <c r="H13932" s="4"/>
    </row>
    <row r="13933" spans="5:8" x14ac:dyDescent="0.25">
      <c r="E13933" s="34"/>
      <c r="G13933" s="34"/>
      <c r="H13933" s="4"/>
    </row>
    <row r="13934" spans="5:8" x14ac:dyDescent="0.25">
      <c r="E13934" s="34"/>
      <c r="G13934" s="34"/>
      <c r="H13934" s="4"/>
    </row>
    <row r="13935" spans="5:8" x14ac:dyDescent="0.25">
      <c r="E13935" s="34"/>
      <c r="G13935" s="34"/>
      <c r="H13935" s="4"/>
    </row>
    <row r="13936" spans="5:8" x14ac:dyDescent="0.25">
      <c r="E13936" s="34"/>
      <c r="G13936" s="34"/>
      <c r="H13936" s="4"/>
    </row>
    <row r="13937" spans="5:8" x14ac:dyDescent="0.25">
      <c r="E13937" s="34"/>
      <c r="G13937" s="34"/>
      <c r="H13937" s="4"/>
    </row>
    <row r="13938" spans="5:8" x14ac:dyDescent="0.25">
      <c r="E13938" s="34"/>
      <c r="G13938" s="34"/>
      <c r="H13938" s="4"/>
    </row>
    <row r="13939" spans="5:8" x14ac:dyDescent="0.25">
      <c r="E13939" s="34"/>
      <c r="G13939" s="34"/>
      <c r="H13939" s="4"/>
    </row>
    <row r="13940" spans="5:8" x14ac:dyDescent="0.25">
      <c r="E13940" s="34"/>
      <c r="G13940" s="34"/>
      <c r="H13940" s="4"/>
    </row>
    <row r="13941" spans="5:8" x14ac:dyDescent="0.25">
      <c r="E13941" s="34"/>
      <c r="G13941" s="34"/>
      <c r="H13941" s="4"/>
    </row>
    <row r="13942" spans="5:8" x14ac:dyDescent="0.25">
      <c r="E13942" s="34"/>
      <c r="G13942" s="34"/>
      <c r="H13942" s="4"/>
    </row>
    <row r="13943" spans="5:8" x14ac:dyDescent="0.25">
      <c r="E13943" s="34"/>
      <c r="G13943" s="34"/>
      <c r="H13943" s="4"/>
    </row>
    <row r="13944" spans="5:8" x14ac:dyDescent="0.25">
      <c r="E13944" s="34"/>
      <c r="G13944" s="34"/>
      <c r="H13944" s="4"/>
    </row>
    <row r="13945" spans="5:8" x14ac:dyDescent="0.25">
      <c r="E13945" s="34"/>
      <c r="G13945" s="34"/>
      <c r="H13945" s="4"/>
    </row>
    <row r="13946" spans="5:8" x14ac:dyDescent="0.25">
      <c r="E13946" s="34"/>
      <c r="G13946" s="34"/>
      <c r="H13946" s="4"/>
    </row>
    <row r="13947" spans="5:8" x14ac:dyDescent="0.25">
      <c r="E13947" s="34"/>
      <c r="G13947" s="34"/>
      <c r="H13947" s="4"/>
    </row>
    <row r="13948" spans="5:8" x14ac:dyDescent="0.25">
      <c r="E13948" s="34"/>
      <c r="G13948" s="34"/>
      <c r="H13948" s="4"/>
    </row>
    <row r="13949" spans="5:8" x14ac:dyDescent="0.25">
      <c r="E13949" s="34"/>
      <c r="G13949" s="34"/>
      <c r="H13949" s="4"/>
    </row>
    <row r="13950" spans="5:8" x14ac:dyDescent="0.25">
      <c r="E13950" s="34"/>
      <c r="G13950" s="34"/>
      <c r="H13950" s="4"/>
    </row>
    <row r="13951" spans="5:8" x14ac:dyDescent="0.25">
      <c r="E13951" s="34"/>
      <c r="G13951" s="34"/>
      <c r="H13951" s="4"/>
    </row>
    <row r="13952" spans="5:8" x14ac:dyDescent="0.25">
      <c r="E13952" s="34"/>
      <c r="G13952" s="34"/>
      <c r="H13952" s="4"/>
    </row>
    <row r="13953" spans="5:8" x14ac:dyDescent="0.25">
      <c r="E13953" s="34"/>
      <c r="G13953" s="34"/>
      <c r="H13953" s="4"/>
    </row>
    <row r="13954" spans="5:8" x14ac:dyDescent="0.25">
      <c r="E13954" s="34"/>
      <c r="G13954" s="34"/>
      <c r="H13954" s="4"/>
    </row>
    <row r="13955" spans="5:8" x14ac:dyDescent="0.25">
      <c r="E13955" s="34"/>
      <c r="G13955" s="34"/>
      <c r="H13955" s="4"/>
    </row>
    <row r="13956" spans="5:8" x14ac:dyDescent="0.25">
      <c r="E13956" s="34"/>
      <c r="G13956" s="34"/>
      <c r="H13956" s="4"/>
    </row>
    <row r="13957" spans="5:8" x14ac:dyDescent="0.25">
      <c r="E13957" s="34"/>
      <c r="G13957" s="34"/>
      <c r="H13957" s="4"/>
    </row>
    <row r="13958" spans="5:8" x14ac:dyDescent="0.25">
      <c r="E13958" s="34"/>
      <c r="G13958" s="34"/>
      <c r="H13958" s="4"/>
    </row>
    <row r="13959" spans="5:8" x14ac:dyDescent="0.25">
      <c r="E13959" s="34"/>
      <c r="G13959" s="34"/>
      <c r="H13959" s="4"/>
    </row>
    <row r="13960" spans="5:8" x14ac:dyDescent="0.25">
      <c r="E13960" s="34"/>
      <c r="G13960" s="34"/>
      <c r="H13960" s="4"/>
    </row>
    <row r="13961" spans="5:8" x14ac:dyDescent="0.25">
      <c r="E13961" s="34"/>
      <c r="G13961" s="34"/>
      <c r="H13961" s="4"/>
    </row>
    <row r="13962" spans="5:8" x14ac:dyDescent="0.25">
      <c r="E13962" s="34"/>
      <c r="G13962" s="34"/>
      <c r="H13962" s="4"/>
    </row>
    <row r="13963" spans="5:8" x14ac:dyDescent="0.25">
      <c r="E13963" s="34"/>
      <c r="G13963" s="34"/>
      <c r="H13963" s="4"/>
    </row>
    <row r="13964" spans="5:8" x14ac:dyDescent="0.25">
      <c r="E13964" s="34"/>
      <c r="G13964" s="34"/>
      <c r="H13964" s="4"/>
    </row>
    <row r="13965" spans="5:8" x14ac:dyDescent="0.25">
      <c r="E13965" s="34"/>
      <c r="G13965" s="34"/>
      <c r="H13965" s="4"/>
    </row>
    <row r="13966" spans="5:8" x14ac:dyDescent="0.25">
      <c r="E13966" s="34"/>
      <c r="G13966" s="34"/>
      <c r="H13966" s="4"/>
    </row>
    <row r="13967" spans="5:8" x14ac:dyDescent="0.25">
      <c r="E13967" s="34"/>
      <c r="G13967" s="34"/>
      <c r="H13967" s="4"/>
    </row>
    <row r="13968" spans="5:8" x14ac:dyDescent="0.25">
      <c r="E13968" s="34"/>
      <c r="G13968" s="34"/>
      <c r="H13968" s="4"/>
    </row>
    <row r="13969" spans="5:8" x14ac:dyDescent="0.25">
      <c r="E13969" s="34"/>
      <c r="G13969" s="34"/>
      <c r="H13969" s="4"/>
    </row>
    <row r="13970" spans="5:8" x14ac:dyDescent="0.25">
      <c r="E13970" s="34"/>
      <c r="G13970" s="34"/>
      <c r="H13970" s="4"/>
    </row>
    <row r="13971" spans="5:8" x14ac:dyDescent="0.25">
      <c r="E13971" s="34"/>
      <c r="G13971" s="34"/>
      <c r="H13971" s="4"/>
    </row>
    <row r="13972" spans="5:8" x14ac:dyDescent="0.25">
      <c r="E13972" s="34"/>
      <c r="G13972" s="34"/>
      <c r="H13972" s="4"/>
    </row>
    <row r="13973" spans="5:8" x14ac:dyDescent="0.25">
      <c r="E13973" s="34"/>
      <c r="G13973" s="34"/>
      <c r="H13973" s="4"/>
    </row>
    <row r="13974" spans="5:8" x14ac:dyDescent="0.25">
      <c r="E13974" s="34"/>
      <c r="G13974" s="34"/>
      <c r="H13974" s="4"/>
    </row>
    <row r="13975" spans="5:8" x14ac:dyDescent="0.25">
      <c r="E13975" s="34"/>
      <c r="G13975" s="34"/>
      <c r="H13975" s="4"/>
    </row>
    <row r="13976" spans="5:8" x14ac:dyDescent="0.25">
      <c r="E13976" s="34"/>
      <c r="G13976" s="34"/>
      <c r="H13976" s="4"/>
    </row>
    <row r="13977" spans="5:8" x14ac:dyDescent="0.25">
      <c r="E13977" s="34"/>
      <c r="G13977" s="34"/>
      <c r="H13977" s="4"/>
    </row>
    <row r="13978" spans="5:8" x14ac:dyDescent="0.25">
      <c r="E13978" s="34"/>
      <c r="G13978" s="34"/>
      <c r="H13978" s="4"/>
    </row>
    <row r="13979" spans="5:8" x14ac:dyDescent="0.25">
      <c r="E13979" s="34"/>
      <c r="G13979" s="34"/>
      <c r="H13979" s="4"/>
    </row>
    <row r="13980" spans="5:8" x14ac:dyDescent="0.25">
      <c r="E13980" s="34"/>
      <c r="G13980" s="34"/>
      <c r="H13980" s="4"/>
    </row>
    <row r="13981" spans="5:8" x14ac:dyDescent="0.25">
      <c r="E13981" s="34"/>
      <c r="G13981" s="34"/>
      <c r="H13981" s="4"/>
    </row>
    <row r="13982" spans="5:8" x14ac:dyDescent="0.25">
      <c r="E13982" s="34"/>
      <c r="G13982" s="34"/>
      <c r="H13982" s="4"/>
    </row>
    <row r="13983" spans="5:8" x14ac:dyDescent="0.25">
      <c r="E13983" s="34"/>
      <c r="G13983" s="34"/>
      <c r="H13983" s="4"/>
    </row>
    <row r="13984" spans="5:8" x14ac:dyDescent="0.25">
      <c r="E13984" s="34"/>
      <c r="G13984" s="34"/>
      <c r="H13984" s="4"/>
    </row>
    <row r="13985" spans="5:8" x14ac:dyDescent="0.25">
      <c r="E13985" s="34"/>
      <c r="G13985" s="34"/>
      <c r="H13985" s="4"/>
    </row>
    <row r="13986" spans="5:8" x14ac:dyDescent="0.25">
      <c r="E13986" s="34"/>
      <c r="G13986" s="34"/>
      <c r="H13986" s="4"/>
    </row>
    <row r="13987" spans="5:8" x14ac:dyDescent="0.25">
      <c r="E13987" s="34"/>
      <c r="G13987" s="34"/>
      <c r="H13987" s="4"/>
    </row>
    <row r="13988" spans="5:8" x14ac:dyDescent="0.25">
      <c r="E13988" s="34"/>
      <c r="G13988" s="34"/>
      <c r="H13988" s="4"/>
    </row>
    <row r="13989" spans="5:8" x14ac:dyDescent="0.25">
      <c r="E13989" s="34"/>
      <c r="G13989" s="34"/>
      <c r="H13989" s="4"/>
    </row>
    <row r="13990" spans="5:8" x14ac:dyDescent="0.25">
      <c r="E13990" s="34"/>
      <c r="G13990" s="34"/>
      <c r="H13990" s="4"/>
    </row>
    <row r="13991" spans="5:8" x14ac:dyDescent="0.25">
      <c r="E13991" s="34"/>
      <c r="G13991" s="34"/>
      <c r="H13991" s="4"/>
    </row>
    <row r="13992" spans="5:8" x14ac:dyDescent="0.25">
      <c r="E13992" s="34"/>
      <c r="G13992" s="34"/>
      <c r="H13992" s="4"/>
    </row>
    <row r="13993" spans="5:8" x14ac:dyDescent="0.25">
      <c r="E13993" s="34"/>
      <c r="G13993" s="34"/>
      <c r="H13993" s="4"/>
    </row>
    <row r="13994" spans="5:8" x14ac:dyDescent="0.25">
      <c r="E13994" s="34"/>
      <c r="G13994" s="34"/>
      <c r="H13994" s="4"/>
    </row>
    <row r="13995" spans="5:8" x14ac:dyDescent="0.25">
      <c r="E13995" s="34"/>
      <c r="G13995" s="34"/>
      <c r="H13995" s="4"/>
    </row>
    <row r="13996" spans="5:8" x14ac:dyDescent="0.25">
      <c r="E13996" s="34"/>
      <c r="G13996" s="34"/>
      <c r="H13996" s="4"/>
    </row>
    <row r="13997" spans="5:8" x14ac:dyDescent="0.25">
      <c r="E13997" s="34"/>
      <c r="G13997" s="34"/>
      <c r="H13997" s="4"/>
    </row>
    <row r="13998" spans="5:8" x14ac:dyDescent="0.25">
      <c r="E13998" s="34"/>
      <c r="G13998" s="34"/>
      <c r="H13998" s="4"/>
    </row>
    <row r="13999" spans="5:8" x14ac:dyDescent="0.25">
      <c r="E13999" s="34"/>
      <c r="G13999" s="34"/>
      <c r="H13999" s="4"/>
    </row>
    <row r="14000" spans="5:8" x14ac:dyDescent="0.25">
      <c r="E14000" s="34"/>
      <c r="G14000" s="34"/>
      <c r="H14000" s="4"/>
    </row>
    <row r="14001" spans="5:8" x14ac:dyDescent="0.25">
      <c r="E14001" s="34"/>
      <c r="G14001" s="34"/>
      <c r="H14001" s="4"/>
    </row>
    <row r="14002" spans="5:8" x14ac:dyDescent="0.25">
      <c r="E14002" s="34"/>
      <c r="G14002" s="34"/>
      <c r="H14002" s="4"/>
    </row>
    <row r="14003" spans="5:8" x14ac:dyDescent="0.25">
      <c r="E14003" s="34"/>
      <c r="G14003" s="34"/>
      <c r="H14003" s="4"/>
    </row>
    <row r="14004" spans="5:8" x14ac:dyDescent="0.25">
      <c r="E14004" s="34"/>
      <c r="G14004" s="34"/>
      <c r="H14004" s="4"/>
    </row>
    <row r="14005" spans="5:8" x14ac:dyDescent="0.25">
      <c r="E14005" s="34"/>
      <c r="G14005" s="34"/>
      <c r="H14005" s="4"/>
    </row>
    <row r="14006" spans="5:8" x14ac:dyDescent="0.25">
      <c r="E14006" s="34"/>
      <c r="G14006" s="34"/>
      <c r="H14006" s="4"/>
    </row>
    <row r="14007" spans="5:8" x14ac:dyDescent="0.25">
      <c r="E14007" s="34"/>
      <c r="G14007" s="34"/>
      <c r="H14007" s="4"/>
    </row>
    <row r="14008" spans="5:8" x14ac:dyDescent="0.25">
      <c r="E14008" s="34"/>
      <c r="G14008" s="34"/>
      <c r="H14008" s="4"/>
    </row>
    <row r="14009" spans="5:8" x14ac:dyDescent="0.25">
      <c r="E14009" s="34"/>
      <c r="G14009" s="34"/>
      <c r="H14009" s="4"/>
    </row>
    <row r="14010" spans="5:8" x14ac:dyDescent="0.25">
      <c r="E14010" s="34"/>
      <c r="G14010" s="34"/>
      <c r="H14010" s="4"/>
    </row>
    <row r="14011" spans="5:8" x14ac:dyDescent="0.25">
      <c r="E14011" s="34"/>
      <c r="G14011" s="34"/>
      <c r="H14011" s="4"/>
    </row>
    <row r="14012" spans="5:8" x14ac:dyDescent="0.25">
      <c r="E14012" s="34"/>
      <c r="G14012" s="34"/>
      <c r="H14012" s="4"/>
    </row>
    <row r="14013" spans="5:8" x14ac:dyDescent="0.25">
      <c r="E14013" s="34"/>
      <c r="G14013" s="34"/>
      <c r="H14013" s="4"/>
    </row>
    <row r="14014" spans="5:8" x14ac:dyDescent="0.25">
      <c r="E14014" s="34"/>
      <c r="G14014" s="34"/>
      <c r="H14014" s="4"/>
    </row>
    <row r="14015" spans="5:8" x14ac:dyDescent="0.25">
      <c r="E14015" s="34"/>
      <c r="G14015" s="34"/>
      <c r="H14015" s="4"/>
    </row>
    <row r="14016" spans="5:8" x14ac:dyDescent="0.25">
      <c r="E14016" s="34"/>
      <c r="G14016" s="34"/>
      <c r="H14016" s="4"/>
    </row>
    <row r="14017" spans="5:8" x14ac:dyDescent="0.25">
      <c r="E14017" s="34"/>
      <c r="G14017" s="34"/>
      <c r="H14017" s="4"/>
    </row>
    <row r="14018" spans="5:8" x14ac:dyDescent="0.25">
      <c r="E14018" s="34"/>
      <c r="G14018" s="34"/>
      <c r="H14018" s="4"/>
    </row>
    <row r="14019" spans="5:8" x14ac:dyDescent="0.25">
      <c r="E14019" s="34"/>
      <c r="G14019" s="34"/>
      <c r="H14019" s="4"/>
    </row>
    <row r="14020" spans="5:8" x14ac:dyDescent="0.25">
      <c r="E14020" s="34"/>
      <c r="G14020" s="34"/>
      <c r="H14020" s="4"/>
    </row>
    <row r="14021" spans="5:8" x14ac:dyDescent="0.25">
      <c r="E14021" s="34"/>
      <c r="G14021" s="34"/>
      <c r="H14021" s="4"/>
    </row>
    <row r="14022" spans="5:8" x14ac:dyDescent="0.25">
      <c r="E14022" s="34"/>
      <c r="G14022" s="34"/>
      <c r="H14022" s="4"/>
    </row>
    <row r="14023" spans="5:8" x14ac:dyDescent="0.25">
      <c r="E14023" s="34"/>
      <c r="G14023" s="34"/>
      <c r="H14023" s="4"/>
    </row>
    <row r="14024" spans="5:8" x14ac:dyDescent="0.25">
      <c r="E14024" s="34"/>
      <c r="G14024" s="34"/>
      <c r="H14024" s="4"/>
    </row>
    <row r="14025" spans="5:8" x14ac:dyDescent="0.25">
      <c r="E14025" s="34"/>
      <c r="G14025" s="34"/>
      <c r="H14025" s="4"/>
    </row>
    <row r="14026" spans="5:8" x14ac:dyDescent="0.25">
      <c r="E14026" s="34"/>
      <c r="G14026" s="34"/>
      <c r="H14026" s="4"/>
    </row>
    <row r="14027" spans="5:8" x14ac:dyDescent="0.25">
      <c r="E14027" s="34"/>
      <c r="G14027" s="34"/>
      <c r="H14027" s="4"/>
    </row>
    <row r="14028" spans="5:8" x14ac:dyDescent="0.25">
      <c r="E14028" s="34"/>
      <c r="G14028" s="34"/>
      <c r="H14028" s="4"/>
    </row>
    <row r="14029" spans="5:8" x14ac:dyDescent="0.25">
      <c r="E14029" s="34"/>
      <c r="G14029" s="34"/>
      <c r="H14029" s="4"/>
    </row>
    <row r="14030" spans="5:8" x14ac:dyDescent="0.25">
      <c r="E14030" s="34"/>
      <c r="G14030" s="34"/>
      <c r="H14030" s="4"/>
    </row>
    <row r="14031" spans="5:8" x14ac:dyDescent="0.25">
      <c r="E14031" s="34"/>
      <c r="G14031" s="34"/>
      <c r="H14031" s="4"/>
    </row>
    <row r="14032" spans="5:8" x14ac:dyDescent="0.25">
      <c r="E14032" s="34"/>
      <c r="G14032" s="34"/>
      <c r="H14032" s="4"/>
    </row>
    <row r="14033" spans="5:8" x14ac:dyDescent="0.25">
      <c r="E14033" s="34"/>
      <c r="G14033" s="34"/>
      <c r="H14033" s="4"/>
    </row>
    <row r="14034" spans="5:8" x14ac:dyDescent="0.25">
      <c r="E14034" s="34"/>
      <c r="G14034" s="34"/>
      <c r="H14034" s="4"/>
    </row>
    <row r="14035" spans="5:8" x14ac:dyDescent="0.25">
      <c r="E14035" s="34"/>
      <c r="G14035" s="34"/>
      <c r="H14035" s="4"/>
    </row>
    <row r="14036" spans="5:8" x14ac:dyDescent="0.25">
      <c r="E14036" s="34"/>
      <c r="G14036" s="34"/>
      <c r="H14036" s="4"/>
    </row>
    <row r="14037" spans="5:8" x14ac:dyDescent="0.25">
      <c r="E14037" s="34"/>
      <c r="G14037" s="34"/>
      <c r="H14037" s="4"/>
    </row>
    <row r="14038" spans="5:8" x14ac:dyDescent="0.25">
      <c r="E14038" s="34"/>
      <c r="G14038" s="34"/>
      <c r="H14038" s="4"/>
    </row>
    <row r="14039" spans="5:8" x14ac:dyDescent="0.25">
      <c r="E14039" s="34"/>
      <c r="G14039" s="34"/>
      <c r="H14039" s="4"/>
    </row>
    <row r="14040" spans="5:8" x14ac:dyDescent="0.25">
      <c r="E14040" s="34"/>
      <c r="G14040" s="34"/>
      <c r="H14040" s="4"/>
    </row>
    <row r="14041" spans="5:8" x14ac:dyDescent="0.25">
      <c r="E14041" s="34"/>
      <c r="G14041" s="34"/>
      <c r="H14041" s="4"/>
    </row>
    <row r="14042" spans="5:8" x14ac:dyDescent="0.25">
      <c r="E14042" s="34"/>
      <c r="G14042" s="34"/>
      <c r="H14042" s="4"/>
    </row>
    <row r="14043" spans="5:8" x14ac:dyDescent="0.25">
      <c r="E14043" s="34"/>
      <c r="G14043" s="34"/>
      <c r="H14043" s="4"/>
    </row>
    <row r="14044" spans="5:8" x14ac:dyDescent="0.25">
      <c r="E14044" s="34"/>
      <c r="G14044" s="34"/>
      <c r="H14044" s="4"/>
    </row>
    <row r="14045" spans="5:8" x14ac:dyDescent="0.25">
      <c r="E14045" s="34"/>
      <c r="G14045" s="34"/>
      <c r="H14045" s="4"/>
    </row>
    <row r="14046" spans="5:8" x14ac:dyDescent="0.25">
      <c r="E14046" s="34"/>
      <c r="G14046" s="34"/>
      <c r="H14046" s="4"/>
    </row>
    <row r="14047" spans="5:8" x14ac:dyDescent="0.25">
      <c r="E14047" s="34"/>
      <c r="G14047" s="34"/>
      <c r="H14047" s="4"/>
    </row>
    <row r="14048" spans="5:8" x14ac:dyDescent="0.25">
      <c r="E14048" s="34"/>
      <c r="G14048" s="34"/>
      <c r="H14048" s="4"/>
    </row>
    <row r="14049" spans="5:8" x14ac:dyDescent="0.25">
      <c r="E14049" s="34"/>
      <c r="G14049" s="34"/>
      <c r="H14049" s="4"/>
    </row>
    <row r="14050" spans="5:8" x14ac:dyDescent="0.25">
      <c r="E14050" s="34"/>
      <c r="G14050" s="34"/>
      <c r="H14050" s="4"/>
    </row>
    <row r="14051" spans="5:8" x14ac:dyDescent="0.25">
      <c r="E14051" s="34"/>
      <c r="G14051" s="34"/>
      <c r="H14051" s="4"/>
    </row>
    <row r="14052" spans="5:8" x14ac:dyDescent="0.25">
      <c r="E14052" s="34"/>
      <c r="G14052" s="34"/>
      <c r="H14052" s="4"/>
    </row>
    <row r="14053" spans="5:8" x14ac:dyDescent="0.25">
      <c r="E14053" s="34"/>
      <c r="G14053" s="34"/>
      <c r="H14053" s="4"/>
    </row>
    <row r="14054" spans="5:8" x14ac:dyDescent="0.25">
      <c r="E14054" s="34"/>
      <c r="G14054" s="34"/>
      <c r="H14054" s="4"/>
    </row>
    <row r="14055" spans="5:8" x14ac:dyDescent="0.25">
      <c r="E14055" s="34"/>
      <c r="G14055" s="34"/>
      <c r="H14055" s="4"/>
    </row>
    <row r="14056" spans="5:8" x14ac:dyDescent="0.25">
      <c r="E14056" s="34"/>
      <c r="G14056" s="34"/>
      <c r="H14056" s="4"/>
    </row>
    <row r="14057" spans="5:8" x14ac:dyDescent="0.25">
      <c r="E14057" s="34"/>
      <c r="G14057" s="34"/>
      <c r="H14057" s="4"/>
    </row>
    <row r="14058" spans="5:8" x14ac:dyDescent="0.25">
      <c r="E14058" s="34"/>
      <c r="G14058" s="34"/>
      <c r="H14058" s="4"/>
    </row>
    <row r="14059" spans="5:8" x14ac:dyDescent="0.25">
      <c r="E14059" s="34"/>
      <c r="G14059" s="34"/>
      <c r="H14059" s="4"/>
    </row>
    <row r="14060" spans="5:8" x14ac:dyDescent="0.25">
      <c r="E14060" s="34"/>
      <c r="G14060" s="34"/>
      <c r="H14060" s="4"/>
    </row>
    <row r="14061" spans="5:8" x14ac:dyDescent="0.25">
      <c r="E14061" s="34"/>
      <c r="G14061" s="34"/>
      <c r="H14061" s="4"/>
    </row>
    <row r="14062" spans="5:8" x14ac:dyDescent="0.25">
      <c r="E14062" s="34"/>
      <c r="G14062" s="34"/>
      <c r="H14062" s="4"/>
    </row>
    <row r="14063" spans="5:8" x14ac:dyDescent="0.25">
      <c r="E14063" s="34"/>
      <c r="G14063" s="34"/>
      <c r="H14063" s="4"/>
    </row>
    <row r="14064" spans="5:8" x14ac:dyDescent="0.25">
      <c r="E14064" s="34"/>
      <c r="G14064" s="34"/>
      <c r="H14064" s="4"/>
    </row>
    <row r="14065" spans="5:8" x14ac:dyDescent="0.25">
      <c r="E14065" s="34"/>
      <c r="G14065" s="34"/>
      <c r="H14065" s="4"/>
    </row>
    <row r="14066" spans="5:8" x14ac:dyDescent="0.25">
      <c r="E14066" s="34"/>
      <c r="G14066" s="34"/>
      <c r="H14066" s="4"/>
    </row>
    <row r="14067" spans="5:8" x14ac:dyDescent="0.25">
      <c r="E14067" s="34"/>
      <c r="G14067" s="34"/>
      <c r="H14067" s="4"/>
    </row>
    <row r="14068" spans="5:8" x14ac:dyDescent="0.25">
      <c r="E14068" s="34"/>
      <c r="G14068" s="34"/>
      <c r="H14068" s="4"/>
    </row>
    <row r="14069" spans="5:8" x14ac:dyDescent="0.25">
      <c r="E14069" s="34"/>
      <c r="G14069" s="34"/>
      <c r="H14069" s="4"/>
    </row>
    <row r="14070" spans="5:8" x14ac:dyDescent="0.25">
      <c r="E14070" s="34"/>
      <c r="G14070" s="34"/>
      <c r="H14070" s="4"/>
    </row>
    <row r="14071" spans="5:8" x14ac:dyDescent="0.25">
      <c r="E14071" s="34"/>
      <c r="G14071" s="34"/>
      <c r="H14071" s="4"/>
    </row>
    <row r="14072" spans="5:8" x14ac:dyDescent="0.25">
      <c r="E14072" s="34"/>
      <c r="G14072" s="34"/>
      <c r="H14072" s="4"/>
    </row>
    <row r="14073" spans="5:8" x14ac:dyDescent="0.25">
      <c r="E14073" s="34"/>
      <c r="G14073" s="34"/>
      <c r="H14073" s="4"/>
    </row>
    <row r="14074" spans="5:8" x14ac:dyDescent="0.25">
      <c r="E14074" s="34"/>
      <c r="G14074" s="34"/>
      <c r="H14074" s="4"/>
    </row>
    <row r="14075" spans="5:8" x14ac:dyDescent="0.25">
      <c r="E14075" s="34"/>
      <c r="G14075" s="34"/>
      <c r="H14075" s="4"/>
    </row>
    <row r="14076" spans="5:8" x14ac:dyDescent="0.25">
      <c r="E14076" s="34"/>
      <c r="G14076" s="34"/>
      <c r="H14076" s="4"/>
    </row>
    <row r="14077" spans="5:8" x14ac:dyDescent="0.25">
      <c r="E14077" s="34"/>
      <c r="G14077" s="34"/>
      <c r="H14077" s="4"/>
    </row>
    <row r="14078" spans="5:8" x14ac:dyDescent="0.25">
      <c r="E14078" s="34"/>
      <c r="G14078" s="34"/>
      <c r="H14078" s="4"/>
    </row>
    <row r="14079" spans="5:8" x14ac:dyDescent="0.25">
      <c r="E14079" s="34"/>
      <c r="G14079" s="34"/>
      <c r="H14079" s="4"/>
    </row>
    <row r="14080" spans="5:8" x14ac:dyDescent="0.25">
      <c r="E14080" s="34"/>
      <c r="G14080" s="34"/>
      <c r="H14080" s="4"/>
    </row>
    <row r="14081" spans="5:8" x14ac:dyDescent="0.25">
      <c r="E14081" s="34"/>
      <c r="G14081" s="34"/>
      <c r="H14081" s="4"/>
    </row>
    <row r="14082" spans="5:8" x14ac:dyDescent="0.25">
      <c r="E14082" s="34"/>
      <c r="G14082" s="34"/>
      <c r="H14082" s="4"/>
    </row>
    <row r="14083" spans="5:8" x14ac:dyDescent="0.25">
      <c r="E14083" s="34"/>
      <c r="G14083" s="34"/>
      <c r="H14083" s="4"/>
    </row>
    <row r="14084" spans="5:8" x14ac:dyDescent="0.25">
      <c r="E14084" s="34"/>
      <c r="G14084" s="34"/>
      <c r="H14084" s="4"/>
    </row>
    <row r="14085" spans="5:8" x14ac:dyDescent="0.25">
      <c r="E14085" s="34"/>
      <c r="G14085" s="34"/>
      <c r="H14085" s="4"/>
    </row>
    <row r="14086" spans="5:8" x14ac:dyDescent="0.25">
      <c r="E14086" s="34"/>
      <c r="G14086" s="34"/>
      <c r="H14086" s="4"/>
    </row>
    <row r="14087" spans="5:8" x14ac:dyDescent="0.25">
      <c r="E14087" s="34"/>
      <c r="G14087" s="34"/>
      <c r="H14087" s="4"/>
    </row>
    <row r="14088" spans="5:8" x14ac:dyDescent="0.25">
      <c r="E14088" s="34"/>
      <c r="G14088" s="34"/>
      <c r="H14088" s="4"/>
    </row>
    <row r="14089" spans="5:8" x14ac:dyDescent="0.25">
      <c r="E14089" s="34"/>
      <c r="G14089" s="34"/>
      <c r="H14089" s="4"/>
    </row>
    <row r="14090" spans="5:8" x14ac:dyDescent="0.25">
      <c r="E14090" s="34"/>
      <c r="G14090" s="34"/>
      <c r="H14090" s="4"/>
    </row>
    <row r="14091" spans="5:8" x14ac:dyDescent="0.25">
      <c r="E14091" s="34"/>
      <c r="G14091" s="34"/>
      <c r="H14091" s="4"/>
    </row>
    <row r="14092" spans="5:8" x14ac:dyDescent="0.25">
      <c r="E14092" s="34"/>
      <c r="G14092" s="34"/>
      <c r="H14092" s="4"/>
    </row>
    <row r="14093" spans="5:8" x14ac:dyDescent="0.25">
      <c r="E14093" s="34"/>
      <c r="G14093" s="34"/>
      <c r="H14093" s="4"/>
    </row>
    <row r="14094" spans="5:8" x14ac:dyDescent="0.25">
      <c r="E14094" s="34"/>
      <c r="G14094" s="34"/>
      <c r="H14094" s="4"/>
    </row>
    <row r="14095" spans="5:8" x14ac:dyDescent="0.25">
      <c r="E14095" s="34"/>
      <c r="G14095" s="34"/>
      <c r="H14095" s="4"/>
    </row>
    <row r="14096" spans="5:8" x14ac:dyDescent="0.25">
      <c r="E14096" s="34"/>
      <c r="G14096" s="34"/>
      <c r="H14096" s="4"/>
    </row>
    <row r="14097" spans="5:8" x14ac:dyDescent="0.25">
      <c r="E14097" s="34"/>
      <c r="G14097" s="34"/>
      <c r="H14097" s="4"/>
    </row>
    <row r="14098" spans="5:8" x14ac:dyDescent="0.25">
      <c r="E14098" s="34"/>
      <c r="G14098" s="34"/>
      <c r="H14098" s="4"/>
    </row>
    <row r="14099" spans="5:8" x14ac:dyDescent="0.25">
      <c r="E14099" s="34"/>
      <c r="G14099" s="34"/>
      <c r="H14099" s="4"/>
    </row>
    <row r="14100" spans="5:8" x14ac:dyDescent="0.25">
      <c r="E14100" s="34"/>
      <c r="G14100" s="34"/>
      <c r="H14100" s="4"/>
    </row>
    <row r="14101" spans="5:8" x14ac:dyDescent="0.25">
      <c r="E14101" s="34"/>
      <c r="G14101" s="34"/>
      <c r="H14101" s="4"/>
    </row>
    <row r="14102" spans="5:8" x14ac:dyDescent="0.25">
      <c r="E14102" s="34"/>
      <c r="G14102" s="34"/>
      <c r="H14102" s="4"/>
    </row>
    <row r="14103" spans="5:8" x14ac:dyDescent="0.25">
      <c r="E14103" s="34"/>
      <c r="G14103" s="34"/>
      <c r="H14103" s="4"/>
    </row>
    <row r="14104" spans="5:8" x14ac:dyDescent="0.25">
      <c r="E14104" s="34"/>
      <c r="G14104" s="34"/>
      <c r="H14104" s="4"/>
    </row>
    <row r="14105" spans="5:8" x14ac:dyDescent="0.25">
      <c r="E14105" s="34"/>
      <c r="G14105" s="34"/>
      <c r="H14105" s="4"/>
    </row>
    <row r="14106" spans="5:8" x14ac:dyDescent="0.25">
      <c r="E14106" s="34"/>
      <c r="G14106" s="34"/>
      <c r="H14106" s="4"/>
    </row>
    <row r="14107" spans="5:8" x14ac:dyDescent="0.25">
      <c r="E14107" s="34"/>
      <c r="G14107" s="34"/>
      <c r="H14107" s="4"/>
    </row>
    <row r="14108" spans="5:8" x14ac:dyDescent="0.25">
      <c r="E14108" s="34"/>
      <c r="G14108" s="34"/>
      <c r="H14108" s="4"/>
    </row>
    <row r="14109" spans="5:8" x14ac:dyDescent="0.25">
      <c r="E14109" s="34"/>
      <c r="G14109" s="34"/>
      <c r="H14109" s="4"/>
    </row>
    <row r="14110" spans="5:8" x14ac:dyDescent="0.25">
      <c r="E14110" s="34"/>
      <c r="G14110" s="34"/>
      <c r="H14110" s="4"/>
    </row>
    <row r="14111" spans="5:8" x14ac:dyDescent="0.25">
      <c r="E14111" s="34"/>
      <c r="G14111" s="34"/>
      <c r="H14111" s="4"/>
    </row>
    <row r="14112" spans="5:8" x14ac:dyDescent="0.25">
      <c r="E14112" s="34"/>
      <c r="G14112" s="34"/>
      <c r="H14112" s="4"/>
    </row>
    <row r="14113" spans="5:8" x14ac:dyDescent="0.25">
      <c r="E14113" s="34"/>
      <c r="G14113" s="34"/>
      <c r="H14113" s="4"/>
    </row>
    <row r="14114" spans="5:8" x14ac:dyDescent="0.25">
      <c r="E14114" s="34"/>
      <c r="G14114" s="34"/>
      <c r="H14114" s="4"/>
    </row>
    <row r="14115" spans="5:8" x14ac:dyDescent="0.25">
      <c r="E14115" s="34"/>
      <c r="G14115" s="34"/>
      <c r="H14115" s="4"/>
    </row>
    <row r="14116" spans="5:8" x14ac:dyDescent="0.25">
      <c r="E14116" s="34"/>
      <c r="G14116" s="34"/>
      <c r="H14116" s="4"/>
    </row>
    <row r="14117" spans="5:8" x14ac:dyDescent="0.25">
      <c r="E14117" s="34"/>
      <c r="G14117" s="34"/>
      <c r="H14117" s="4"/>
    </row>
    <row r="14118" spans="5:8" x14ac:dyDescent="0.25">
      <c r="E14118" s="34"/>
      <c r="G14118" s="34"/>
      <c r="H14118" s="4"/>
    </row>
    <row r="14119" spans="5:8" x14ac:dyDescent="0.25">
      <c r="E14119" s="34"/>
      <c r="G14119" s="34"/>
      <c r="H14119" s="4"/>
    </row>
    <row r="14120" spans="5:8" x14ac:dyDescent="0.25">
      <c r="E14120" s="34"/>
      <c r="G14120" s="34"/>
      <c r="H14120" s="4"/>
    </row>
    <row r="14121" spans="5:8" x14ac:dyDescent="0.25">
      <c r="E14121" s="34"/>
      <c r="G14121" s="34"/>
      <c r="H14121" s="4"/>
    </row>
    <row r="14122" spans="5:8" x14ac:dyDescent="0.25">
      <c r="E14122" s="34"/>
      <c r="G14122" s="34"/>
      <c r="H14122" s="4"/>
    </row>
    <row r="14123" spans="5:8" x14ac:dyDescent="0.25">
      <c r="E14123" s="34"/>
      <c r="G14123" s="34"/>
      <c r="H14123" s="4"/>
    </row>
    <row r="14124" spans="5:8" x14ac:dyDescent="0.25">
      <c r="E14124" s="34"/>
      <c r="G14124" s="34"/>
      <c r="H14124" s="4"/>
    </row>
    <row r="14125" spans="5:8" x14ac:dyDescent="0.25">
      <c r="E14125" s="34"/>
      <c r="G14125" s="34"/>
      <c r="H14125" s="4"/>
    </row>
    <row r="14126" spans="5:8" x14ac:dyDescent="0.25">
      <c r="E14126" s="34"/>
      <c r="G14126" s="34"/>
      <c r="H14126" s="4"/>
    </row>
    <row r="14127" spans="5:8" x14ac:dyDescent="0.25">
      <c r="E14127" s="34"/>
      <c r="G14127" s="34"/>
      <c r="H14127" s="4"/>
    </row>
    <row r="14128" spans="5:8" x14ac:dyDescent="0.25">
      <c r="E14128" s="34"/>
      <c r="G14128" s="34"/>
      <c r="H14128" s="4"/>
    </row>
    <row r="14129" spans="5:8" x14ac:dyDescent="0.25">
      <c r="E14129" s="34"/>
      <c r="G14129" s="34"/>
      <c r="H14129" s="4"/>
    </row>
    <row r="14130" spans="5:8" x14ac:dyDescent="0.25">
      <c r="E14130" s="34"/>
      <c r="G14130" s="34"/>
      <c r="H14130" s="4"/>
    </row>
    <row r="14131" spans="5:8" x14ac:dyDescent="0.25">
      <c r="E14131" s="34"/>
      <c r="G14131" s="34"/>
      <c r="H14131" s="4"/>
    </row>
    <row r="14132" spans="5:8" x14ac:dyDescent="0.25">
      <c r="E14132" s="34"/>
      <c r="G14132" s="34"/>
      <c r="H14132" s="4"/>
    </row>
    <row r="14133" spans="5:8" x14ac:dyDescent="0.25">
      <c r="E14133" s="34"/>
      <c r="G14133" s="34"/>
      <c r="H14133" s="4"/>
    </row>
    <row r="14134" spans="5:8" x14ac:dyDescent="0.25">
      <c r="E14134" s="34"/>
      <c r="G14134" s="34"/>
      <c r="H14134" s="4"/>
    </row>
    <row r="14135" spans="5:8" x14ac:dyDescent="0.25">
      <c r="E14135" s="34"/>
      <c r="G14135" s="34"/>
      <c r="H14135" s="4"/>
    </row>
    <row r="14136" spans="5:8" x14ac:dyDescent="0.25">
      <c r="E14136" s="34"/>
      <c r="G14136" s="34"/>
      <c r="H14136" s="4"/>
    </row>
    <row r="14137" spans="5:8" x14ac:dyDescent="0.25">
      <c r="E14137" s="34"/>
      <c r="G14137" s="34"/>
      <c r="H14137" s="4"/>
    </row>
    <row r="14138" spans="5:8" x14ac:dyDescent="0.25">
      <c r="E14138" s="34"/>
      <c r="G14138" s="34"/>
      <c r="H14138" s="4"/>
    </row>
    <row r="14139" spans="5:8" x14ac:dyDescent="0.25">
      <c r="E14139" s="34"/>
      <c r="G14139" s="34"/>
      <c r="H14139" s="4"/>
    </row>
    <row r="14140" spans="5:8" x14ac:dyDescent="0.25">
      <c r="E14140" s="34"/>
      <c r="G14140" s="34"/>
      <c r="H14140" s="4"/>
    </row>
    <row r="14141" spans="5:8" x14ac:dyDescent="0.25">
      <c r="E14141" s="34"/>
      <c r="G14141" s="34"/>
      <c r="H14141" s="4"/>
    </row>
    <row r="14142" spans="5:8" x14ac:dyDescent="0.25">
      <c r="E14142" s="34"/>
      <c r="G14142" s="34"/>
      <c r="H14142" s="4"/>
    </row>
    <row r="14143" spans="5:8" x14ac:dyDescent="0.25">
      <c r="E14143" s="34"/>
      <c r="G14143" s="34"/>
      <c r="H14143" s="4"/>
    </row>
    <row r="14144" spans="5:8" x14ac:dyDescent="0.25">
      <c r="E14144" s="34"/>
      <c r="G14144" s="34"/>
      <c r="H14144" s="4"/>
    </row>
    <row r="14145" spans="5:8" x14ac:dyDescent="0.25">
      <c r="E14145" s="34"/>
      <c r="G14145" s="34"/>
      <c r="H14145" s="4"/>
    </row>
    <row r="14146" spans="5:8" x14ac:dyDescent="0.25">
      <c r="E14146" s="34"/>
      <c r="G14146" s="34"/>
      <c r="H14146" s="4"/>
    </row>
    <row r="14147" spans="5:8" x14ac:dyDescent="0.25">
      <c r="E14147" s="34"/>
      <c r="G14147" s="34"/>
      <c r="H14147" s="4"/>
    </row>
    <row r="14148" spans="5:8" x14ac:dyDescent="0.25">
      <c r="E14148" s="34"/>
      <c r="G14148" s="34"/>
      <c r="H14148" s="4"/>
    </row>
    <row r="14149" spans="5:8" x14ac:dyDescent="0.25">
      <c r="E14149" s="34"/>
      <c r="G14149" s="34"/>
      <c r="H14149" s="4"/>
    </row>
    <row r="14150" spans="5:8" x14ac:dyDescent="0.25">
      <c r="E14150" s="34"/>
      <c r="G14150" s="34"/>
      <c r="H14150" s="4"/>
    </row>
    <row r="14151" spans="5:8" x14ac:dyDescent="0.25">
      <c r="E14151" s="34"/>
      <c r="G14151" s="34"/>
      <c r="H14151" s="4"/>
    </row>
    <row r="14152" spans="5:8" x14ac:dyDescent="0.25">
      <c r="E14152" s="34"/>
      <c r="G14152" s="34"/>
      <c r="H14152" s="4"/>
    </row>
    <row r="14153" spans="5:8" x14ac:dyDescent="0.25">
      <c r="E14153" s="34"/>
      <c r="G14153" s="34"/>
      <c r="H14153" s="4"/>
    </row>
    <row r="14154" spans="5:8" x14ac:dyDescent="0.25">
      <c r="E14154" s="34"/>
      <c r="G14154" s="34"/>
      <c r="H14154" s="4"/>
    </row>
    <row r="14155" spans="5:8" x14ac:dyDescent="0.25">
      <c r="E14155" s="34"/>
      <c r="G14155" s="34"/>
      <c r="H14155" s="4"/>
    </row>
    <row r="14156" spans="5:8" x14ac:dyDescent="0.25">
      <c r="E14156" s="34"/>
      <c r="G14156" s="34"/>
      <c r="H14156" s="4"/>
    </row>
    <row r="14157" spans="5:8" x14ac:dyDescent="0.25">
      <c r="E14157" s="34"/>
      <c r="G14157" s="34"/>
      <c r="H14157" s="4"/>
    </row>
    <row r="14158" spans="5:8" x14ac:dyDescent="0.25">
      <c r="E14158" s="34"/>
      <c r="G14158" s="34"/>
      <c r="H14158" s="4"/>
    </row>
    <row r="14159" spans="5:8" x14ac:dyDescent="0.25">
      <c r="E14159" s="34"/>
      <c r="G14159" s="34"/>
      <c r="H14159" s="4"/>
    </row>
    <row r="14160" spans="5:8" x14ac:dyDescent="0.25">
      <c r="E14160" s="34"/>
      <c r="G14160" s="34"/>
      <c r="H14160" s="4"/>
    </row>
    <row r="14161" spans="5:8" x14ac:dyDescent="0.25">
      <c r="E14161" s="34"/>
      <c r="G14161" s="34"/>
      <c r="H14161" s="4"/>
    </row>
    <row r="14162" spans="5:8" x14ac:dyDescent="0.25">
      <c r="E14162" s="34"/>
      <c r="G14162" s="34"/>
      <c r="H14162" s="4"/>
    </row>
    <row r="14163" spans="5:8" x14ac:dyDescent="0.25">
      <c r="E14163" s="34"/>
      <c r="G14163" s="34"/>
      <c r="H14163" s="4"/>
    </row>
    <row r="14164" spans="5:8" x14ac:dyDescent="0.25">
      <c r="E14164" s="34"/>
      <c r="G14164" s="34"/>
      <c r="H14164" s="4"/>
    </row>
    <row r="14165" spans="5:8" x14ac:dyDescent="0.25">
      <c r="E14165" s="34"/>
      <c r="G14165" s="34"/>
      <c r="H14165" s="4"/>
    </row>
    <row r="14166" spans="5:8" x14ac:dyDescent="0.25">
      <c r="E14166" s="34"/>
      <c r="G14166" s="34"/>
      <c r="H14166" s="4"/>
    </row>
    <row r="14167" spans="5:8" x14ac:dyDescent="0.25">
      <c r="E14167" s="34"/>
      <c r="G14167" s="34"/>
      <c r="H14167" s="4"/>
    </row>
    <row r="14168" spans="5:8" x14ac:dyDescent="0.25">
      <c r="E14168" s="34"/>
      <c r="G14168" s="34"/>
      <c r="H14168" s="4"/>
    </row>
    <row r="14169" spans="5:8" x14ac:dyDescent="0.25">
      <c r="E14169" s="34"/>
      <c r="G14169" s="34"/>
      <c r="H14169" s="4"/>
    </row>
    <row r="14170" spans="5:8" x14ac:dyDescent="0.25">
      <c r="E14170" s="34"/>
      <c r="G14170" s="34"/>
      <c r="H14170" s="4"/>
    </row>
    <row r="14171" spans="5:8" x14ac:dyDescent="0.25">
      <c r="E14171" s="34"/>
      <c r="G14171" s="34"/>
      <c r="H14171" s="4"/>
    </row>
    <row r="14172" spans="5:8" x14ac:dyDescent="0.25">
      <c r="E14172" s="34"/>
      <c r="G14172" s="34"/>
      <c r="H14172" s="4"/>
    </row>
    <row r="14173" spans="5:8" x14ac:dyDescent="0.25">
      <c r="E14173" s="34"/>
      <c r="G14173" s="34"/>
      <c r="H14173" s="4"/>
    </row>
    <row r="14174" spans="5:8" x14ac:dyDescent="0.25">
      <c r="E14174" s="34"/>
      <c r="G14174" s="34"/>
      <c r="H14174" s="4"/>
    </row>
    <row r="14175" spans="5:8" x14ac:dyDescent="0.25">
      <c r="E14175" s="34"/>
      <c r="G14175" s="34"/>
      <c r="H14175" s="4"/>
    </row>
    <row r="14176" spans="5:8" x14ac:dyDescent="0.25">
      <c r="E14176" s="34"/>
      <c r="G14176" s="34"/>
      <c r="H14176" s="4"/>
    </row>
    <row r="14177" spans="5:8" x14ac:dyDescent="0.25">
      <c r="E14177" s="34"/>
      <c r="G14177" s="34"/>
      <c r="H14177" s="4"/>
    </row>
    <row r="14178" spans="5:8" x14ac:dyDescent="0.25">
      <c r="E14178" s="34"/>
      <c r="G14178" s="34"/>
      <c r="H14178" s="4"/>
    </row>
    <row r="14179" spans="5:8" x14ac:dyDescent="0.25">
      <c r="E14179" s="34"/>
      <c r="G14179" s="34"/>
      <c r="H14179" s="4"/>
    </row>
    <row r="14180" spans="5:8" x14ac:dyDescent="0.25">
      <c r="E14180" s="34"/>
      <c r="G14180" s="34"/>
      <c r="H14180" s="4"/>
    </row>
    <row r="14181" spans="5:8" x14ac:dyDescent="0.25">
      <c r="E14181" s="34"/>
      <c r="G14181" s="34"/>
      <c r="H14181" s="4"/>
    </row>
    <row r="14182" spans="5:8" x14ac:dyDescent="0.25">
      <c r="E14182" s="34"/>
      <c r="G14182" s="34"/>
      <c r="H14182" s="4"/>
    </row>
    <row r="14183" spans="5:8" x14ac:dyDescent="0.25">
      <c r="E14183" s="34"/>
      <c r="G14183" s="34"/>
      <c r="H14183" s="4"/>
    </row>
    <row r="14184" spans="5:8" x14ac:dyDescent="0.25">
      <c r="E14184" s="34"/>
      <c r="G14184" s="34"/>
      <c r="H14184" s="4"/>
    </row>
    <row r="14185" spans="5:8" x14ac:dyDescent="0.25">
      <c r="E14185" s="34"/>
      <c r="G14185" s="34"/>
      <c r="H14185" s="4"/>
    </row>
    <row r="14186" spans="5:8" x14ac:dyDescent="0.25">
      <c r="E14186" s="34"/>
      <c r="G14186" s="34"/>
      <c r="H14186" s="4"/>
    </row>
    <row r="14187" spans="5:8" x14ac:dyDescent="0.25">
      <c r="E14187" s="34"/>
      <c r="G14187" s="34"/>
      <c r="H14187" s="4"/>
    </row>
    <row r="14188" spans="5:8" x14ac:dyDescent="0.25">
      <c r="E14188" s="34"/>
      <c r="G14188" s="34"/>
      <c r="H14188" s="4"/>
    </row>
    <row r="14189" spans="5:8" x14ac:dyDescent="0.25">
      <c r="E14189" s="34"/>
      <c r="G14189" s="34"/>
      <c r="H14189" s="4"/>
    </row>
    <row r="14190" spans="5:8" x14ac:dyDescent="0.25">
      <c r="E14190" s="34"/>
      <c r="G14190" s="34"/>
      <c r="H14190" s="4"/>
    </row>
    <row r="14191" spans="5:8" x14ac:dyDescent="0.25">
      <c r="E14191" s="34"/>
      <c r="G14191" s="34"/>
      <c r="H14191" s="4"/>
    </row>
    <row r="14192" spans="5:8" x14ac:dyDescent="0.25">
      <c r="E14192" s="34"/>
      <c r="G14192" s="34"/>
      <c r="H14192" s="4"/>
    </row>
    <row r="14193" spans="5:8" x14ac:dyDescent="0.25">
      <c r="E14193" s="34"/>
      <c r="G14193" s="34"/>
      <c r="H14193" s="4"/>
    </row>
    <row r="14194" spans="5:8" x14ac:dyDescent="0.25">
      <c r="E14194" s="34"/>
      <c r="G14194" s="34"/>
      <c r="H14194" s="4"/>
    </row>
    <row r="14195" spans="5:8" x14ac:dyDescent="0.25">
      <c r="E14195" s="34"/>
      <c r="G14195" s="34"/>
      <c r="H14195" s="4"/>
    </row>
    <row r="14196" spans="5:8" x14ac:dyDescent="0.25">
      <c r="E14196" s="34"/>
      <c r="G14196" s="34"/>
      <c r="H14196" s="4"/>
    </row>
    <row r="14197" spans="5:8" x14ac:dyDescent="0.25">
      <c r="E14197" s="34"/>
      <c r="G14197" s="34"/>
      <c r="H14197" s="4"/>
    </row>
    <row r="14198" spans="5:8" x14ac:dyDescent="0.25">
      <c r="E14198" s="34"/>
      <c r="G14198" s="34"/>
      <c r="H14198" s="4"/>
    </row>
    <row r="14199" spans="5:8" x14ac:dyDescent="0.25">
      <c r="E14199" s="34"/>
      <c r="G14199" s="34"/>
      <c r="H14199" s="4"/>
    </row>
    <row r="14200" spans="5:8" x14ac:dyDescent="0.25">
      <c r="E14200" s="34"/>
      <c r="G14200" s="34"/>
      <c r="H14200" s="4"/>
    </row>
    <row r="14201" spans="5:8" x14ac:dyDescent="0.25">
      <c r="E14201" s="34"/>
      <c r="G14201" s="34"/>
      <c r="H14201" s="4"/>
    </row>
    <row r="14202" spans="5:8" x14ac:dyDescent="0.25">
      <c r="E14202" s="34"/>
      <c r="G14202" s="34"/>
      <c r="H14202" s="4"/>
    </row>
    <row r="14203" spans="5:8" x14ac:dyDescent="0.25">
      <c r="E14203" s="34"/>
      <c r="G14203" s="34"/>
      <c r="H14203" s="4"/>
    </row>
    <row r="14204" spans="5:8" x14ac:dyDescent="0.25">
      <c r="E14204" s="34"/>
      <c r="G14204" s="34"/>
      <c r="H14204" s="4"/>
    </row>
    <row r="14205" spans="5:8" x14ac:dyDescent="0.25">
      <c r="E14205" s="34"/>
      <c r="G14205" s="34"/>
      <c r="H14205" s="4"/>
    </row>
    <row r="14206" spans="5:8" x14ac:dyDescent="0.25">
      <c r="E14206" s="34"/>
      <c r="G14206" s="34"/>
      <c r="H14206" s="4"/>
    </row>
    <row r="14207" spans="5:8" x14ac:dyDescent="0.25">
      <c r="E14207" s="34"/>
      <c r="G14207" s="34"/>
      <c r="H14207" s="4"/>
    </row>
    <row r="14208" spans="5:8" x14ac:dyDescent="0.25">
      <c r="E14208" s="34"/>
      <c r="G14208" s="34"/>
      <c r="H14208" s="4"/>
    </row>
    <row r="14209" spans="5:8" x14ac:dyDescent="0.25">
      <c r="E14209" s="34"/>
      <c r="G14209" s="34"/>
      <c r="H14209" s="4"/>
    </row>
    <row r="14210" spans="5:8" x14ac:dyDescent="0.25">
      <c r="E14210" s="34"/>
      <c r="G14210" s="34"/>
      <c r="H14210" s="4"/>
    </row>
    <row r="14211" spans="5:8" x14ac:dyDescent="0.25">
      <c r="E14211" s="34"/>
      <c r="G14211" s="34"/>
      <c r="H14211" s="4"/>
    </row>
    <row r="14212" spans="5:8" x14ac:dyDescent="0.25">
      <c r="E14212" s="34"/>
      <c r="G14212" s="34"/>
      <c r="H14212" s="4"/>
    </row>
    <row r="14213" spans="5:8" x14ac:dyDescent="0.25">
      <c r="E14213" s="34"/>
      <c r="G14213" s="34"/>
      <c r="H14213" s="4"/>
    </row>
    <row r="14214" spans="5:8" x14ac:dyDescent="0.25">
      <c r="E14214" s="34"/>
      <c r="G14214" s="34"/>
      <c r="H14214" s="4"/>
    </row>
    <row r="14215" spans="5:8" x14ac:dyDescent="0.25">
      <c r="E14215" s="34"/>
      <c r="G14215" s="34"/>
      <c r="H14215" s="4"/>
    </row>
    <row r="14216" spans="5:8" x14ac:dyDescent="0.25">
      <c r="E14216" s="34"/>
      <c r="G14216" s="34"/>
      <c r="H14216" s="4"/>
    </row>
    <row r="14217" spans="5:8" x14ac:dyDescent="0.25">
      <c r="E14217" s="34"/>
      <c r="G14217" s="34"/>
      <c r="H14217" s="4"/>
    </row>
    <row r="14218" spans="5:8" x14ac:dyDescent="0.25">
      <c r="E14218" s="34"/>
      <c r="G14218" s="34"/>
      <c r="H14218" s="4"/>
    </row>
    <row r="14219" spans="5:8" x14ac:dyDescent="0.25">
      <c r="E14219" s="34"/>
      <c r="G14219" s="34"/>
      <c r="H14219" s="4"/>
    </row>
    <row r="14220" spans="5:8" x14ac:dyDescent="0.25">
      <c r="E14220" s="34"/>
      <c r="G14220" s="34"/>
      <c r="H14220" s="4"/>
    </row>
    <row r="14221" spans="5:8" x14ac:dyDescent="0.25">
      <c r="E14221" s="34"/>
      <c r="G14221" s="34"/>
      <c r="H14221" s="4"/>
    </row>
    <row r="14222" spans="5:8" x14ac:dyDescent="0.25">
      <c r="E14222" s="34"/>
      <c r="G14222" s="34"/>
      <c r="H14222" s="4"/>
    </row>
    <row r="14223" spans="5:8" x14ac:dyDescent="0.25">
      <c r="E14223" s="34"/>
      <c r="G14223" s="34"/>
      <c r="H14223" s="4"/>
    </row>
    <row r="14224" spans="5:8" x14ac:dyDescent="0.25">
      <c r="E14224" s="34"/>
      <c r="G14224" s="34"/>
      <c r="H14224" s="4"/>
    </row>
    <row r="14225" spans="5:8" x14ac:dyDescent="0.25">
      <c r="E14225" s="34"/>
      <c r="G14225" s="34"/>
      <c r="H14225" s="4"/>
    </row>
    <row r="14226" spans="5:8" x14ac:dyDescent="0.25">
      <c r="E14226" s="34"/>
      <c r="G14226" s="34"/>
      <c r="H14226" s="4"/>
    </row>
    <row r="14227" spans="5:8" x14ac:dyDescent="0.25">
      <c r="E14227" s="34"/>
      <c r="G14227" s="34"/>
      <c r="H14227" s="4"/>
    </row>
    <row r="14228" spans="5:8" x14ac:dyDescent="0.25">
      <c r="E14228" s="34"/>
      <c r="G14228" s="34"/>
      <c r="H14228" s="4"/>
    </row>
    <row r="14229" spans="5:8" x14ac:dyDescent="0.25">
      <c r="E14229" s="34"/>
      <c r="G14229" s="34"/>
      <c r="H14229" s="4"/>
    </row>
    <row r="14230" spans="5:8" x14ac:dyDescent="0.25">
      <c r="E14230" s="34"/>
      <c r="G14230" s="34"/>
      <c r="H14230" s="4"/>
    </row>
    <row r="14231" spans="5:8" x14ac:dyDescent="0.25">
      <c r="E14231" s="34"/>
      <c r="G14231" s="34"/>
      <c r="H14231" s="4"/>
    </row>
    <row r="14232" spans="5:8" x14ac:dyDescent="0.25">
      <c r="E14232" s="34"/>
      <c r="G14232" s="34"/>
      <c r="H14232" s="4"/>
    </row>
    <row r="14233" spans="5:8" x14ac:dyDescent="0.25">
      <c r="E14233" s="34"/>
      <c r="G14233" s="34"/>
      <c r="H14233" s="4"/>
    </row>
    <row r="14234" spans="5:8" x14ac:dyDescent="0.25">
      <c r="E14234" s="34"/>
      <c r="G14234" s="34"/>
      <c r="H14234" s="4"/>
    </row>
    <row r="14235" spans="5:8" x14ac:dyDescent="0.25">
      <c r="E14235" s="34"/>
      <c r="G14235" s="34"/>
      <c r="H14235" s="4"/>
    </row>
    <row r="14236" spans="5:8" x14ac:dyDescent="0.25">
      <c r="E14236" s="34"/>
      <c r="G14236" s="34"/>
      <c r="H14236" s="4"/>
    </row>
    <row r="14237" spans="5:8" x14ac:dyDescent="0.25">
      <c r="E14237" s="34"/>
      <c r="G14237" s="34"/>
      <c r="H14237" s="4"/>
    </row>
    <row r="14238" spans="5:8" x14ac:dyDescent="0.25">
      <c r="E14238" s="34"/>
      <c r="G14238" s="34"/>
      <c r="H14238" s="4"/>
    </row>
    <row r="14239" spans="5:8" x14ac:dyDescent="0.25">
      <c r="E14239" s="34"/>
      <c r="G14239" s="34"/>
      <c r="H14239" s="4"/>
    </row>
    <row r="14240" spans="5:8" x14ac:dyDescent="0.25">
      <c r="E14240" s="34"/>
      <c r="G14240" s="34"/>
      <c r="H14240" s="4"/>
    </row>
    <row r="14241" spans="5:8" x14ac:dyDescent="0.25">
      <c r="E14241" s="34"/>
      <c r="G14241" s="34"/>
      <c r="H14241" s="4"/>
    </row>
    <row r="14242" spans="5:8" x14ac:dyDescent="0.25">
      <c r="E14242" s="34"/>
      <c r="G14242" s="34"/>
      <c r="H14242" s="4"/>
    </row>
    <row r="14243" spans="5:8" x14ac:dyDescent="0.25">
      <c r="E14243" s="34"/>
      <c r="G14243" s="34"/>
      <c r="H14243" s="4"/>
    </row>
    <row r="14244" spans="5:8" x14ac:dyDescent="0.25">
      <c r="E14244" s="34"/>
      <c r="G14244" s="34"/>
      <c r="H14244" s="4"/>
    </row>
    <row r="14245" spans="5:8" x14ac:dyDescent="0.25">
      <c r="E14245" s="34"/>
      <c r="G14245" s="34"/>
      <c r="H14245" s="4"/>
    </row>
    <row r="14246" spans="5:8" x14ac:dyDescent="0.25">
      <c r="E14246" s="34"/>
      <c r="G14246" s="34"/>
      <c r="H14246" s="4"/>
    </row>
    <row r="14247" spans="5:8" x14ac:dyDescent="0.25">
      <c r="E14247" s="34"/>
      <c r="G14247" s="34"/>
      <c r="H14247" s="4"/>
    </row>
    <row r="14248" spans="5:8" x14ac:dyDescent="0.25">
      <c r="E14248" s="34"/>
      <c r="G14248" s="34"/>
      <c r="H14248" s="4"/>
    </row>
    <row r="14249" spans="5:8" x14ac:dyDescent="0.25">
      <c r="E14249" s="34"/>
      <c r="G14249" s="34"/>
      <c r="H14249" s="4"/>
    </row>
    <row r="14250" spans="5:8" x14ac:dyDescent="0.25">
      <c r="E14250" s="34"/>
      <c r="G14250" s="34"/>
      <c r="H14250" s="4"/>
    </row>
    <row r="14251" spans="5:8" x14ac:dyDescent="0.25">
      <c r="E14251" s="34"/>
      <c r="G14251" s="34"/>
      <c r="H14251" s="4"/>
    </row>
    <row r="14252" spans="5:8" x14ac:dyDescent="0.25">
      <c r="E14252" s="34"/>
      <c r="G14252" s="34"/>
      <c r="H14252" s="4"/>
    </row>
    <row r="14253" spans="5:8" x14ac:dyDescent="0.25">
      <c r="E14253" s="34"/>
      <c r="G14253" s="34"/>
      <c r="H14253" s="4"/>
    </row>
    <row r="14254" spans="5:8" x14ac:dyDescent="0.25">
      <c r="E14254" s="34"/>
      <c r="G14254" s="34"/>
      <c r="H14254" s="4"/>
    </row>
    <row r="14255" spans="5:8" x14ac:dyDescent="0.25">
      <c r="E14255" s="34"/>
      <c r="G14255" s="34"/>
      <c r="H14255" s="4"/>
    </row>
    <row r="14256" spans="5:8" x14ac:dyDescent="0.25">
      <c r="E14256" s="34"/>
      <c r="G14256" s="34"/>
      <c r="H14256" s="4"/>
    </row>
    <row r="14257" spans="5:8" x14ac:dyDescent="0.25">
      <c r="E14257" s="34"/>
      <c r="G14257" s="34"/>
      <c r="H14257" s="4"/>
    </row>
    <row r="14258" spans="5:8" x14ac:dyDescent="0.25">
      <c r="E14258" s="34"/>
      <c r="G14258" s="34"/>
      <c r="H14258" s="4"/>
    </row>
    <row r="14259" spans="5:8" x14ac:dyDescent="0.25">
      <c r="E14259" s="34"/>
      <c r="G14259" s="34"/>
      <c r="H14259" s="4"/>
    </row>
    <row r="14260" spans="5:8" x14ac:dyDescent="0.25">
      <c r="E14260" s="34"/>
      <c r="G14260" s="34"/>
      <c r="H14260" s="4"/>
    </row>
    <row r="14261" spans="5:8" x14ac:dyDescent="0.25">
      <c r="E14261" s="34"/>
      <c r="G14261" s="34"/>
      <c r="H14261" s="4"/>
    </row>
    <row r="14262" spans="5:8" x14ac:dyDescent="0.25">
      <c r="E14262" s="34"/>
      <c r="G14262" s="34"/>
      <c r="H14262" s="4"/>
    </row>
    <row r="14263" spans="5:8" x14ac:dyDescent="0.25">
      <c r="E14263" s="34"/>
      <c r="G14263" s="34"/>
      <c r="H14263" s="4"/>
    </row>
    <row r="14264" spans="5:8" x14ac:dyDescent="0.25">
      <c r="E14264" s="34"/>
      <c r="G14264" s="34"/>
      <c r="H14264" s="4"/>
    </row>
    <row r="14265" spans="5:8" x14ac:dyDescent="0.25">
      <c r="E14265" s="34"/>
      <c r="G14265" s="34"/>
      <c r="H14265" s="4"/>
    </row>
    <row r="14266" spans="5:8" x14ac:dyDescent="0.25">
      <c r="E14266" s="34"/>
      <c r="G14266" s="34"/>
      <c r="H14266" s="4"/>
    </row>
    <row r="14267" spans="5:8" x14ac:dyDescent="0.25">
      <c r="E14267" s="34"/>
      <c r="G14267" s="34"/>
      <c r="H14267" s="4"/>
    </row>
    <row r="14268" spans="5:8" x14ac:dyDescent="0.25">
      <c r="E14268" s="34"/>
      <c r="G14268" s="34"/>
      <c r="H14268" s="4"/>
    </row>
    <row r="14269" spans="5:8" x14ac:dyDescent="0.25">
      <c r="E14269" s="34"/>
      <c r="G14269" s="34"/>
      <c r="H14269" s="4"/>
    </row>
    <row r="14270" spans="5:8" x14ac:dyDescent="0.25">
      <c r="E14270" s="34"/>
      <c r="G14270" s="34"/>
      <c r="H14270" s="4"/>
    </row>
    <row r="14271" spans="5:8" x14ac:dyDescent="0.25">
      <c r="E14271" s="34"/>
      <c r="G14271" s="34"/>
      <c r="H14271" s="4"/>
    </row>
    <row r="14272" spans="5:8" x14ac:dyDescent="0.25">
      <c r="E14272" s="34"/>
      <c r="G14272" s="34"/>
      <c r="H14272" s="4"/>
    </row>
    <row r="14273" spans="5:8" x14ac:dyDescent="0.25">
      <c r="E14273" s="34"/>
      <c r="G14273" s="34"/>
      <c r="H14273" s="4"/>
    </row>
    <row r="14274" spans="5:8" x14ac:dyDescent="0.25">
      <c r="E14274" s="34"/>
      <c r="G14274" s="34"/>
      <c r="H14274" s="4"/>
    </row>
    <row r="14275" spans="5:8" x14ac:dyDescent="0.25">
      <c r="E14275" s="34"/>
      <c r="G14275" s="34"/>
      <c r="H14275" s="4"/>
    </row>
    <row r="14276" spans="5:8" x14ac:dyDescent="0.25">
      <c r="E14276" s="34"/>
      <c r="G14276" s="34"/>
      <c r="H14276" s="4"/>
    </row>
    <row r="14277" spans="5:8" x14ac:dyDescent="0.25">
      <c r="E14277" s="34"/>
      <c r="G14277" s="34"/>
      <c r="H14277" s="4"/>
    </row>
    <row r="14278" spans="5:8" x14ac:dyDescent="0.25">
      <c r="E14278" s="34"/>
      <c r="G14278" s="34"/>
      <c r="H14278" s="4"/>
    </row>
    <row r="14279" spans="5:8" x14ac:dyDescent="0.25">
      <c r="E14279" s="34"/>
      <c r="G14279" s="34"/>
      <c r="H14279" s="4"/>
    </row>
    <row r="14280" spans="5:8" x14ac:dyDescent="0.25">
      <c r="E14280" s="34"/>
      <c r="G14280" s="34"/>
      <c r="H14280" s="4"/>
    </row>
    <row r="14281" spans="5:8" x14ac:dyDescent="0.25">
      <c r="E14281" s="34"/>
      <c r="G14281" s="34"/>
      <c r="H14281" s="4"/>
    </row>
    <row r="14282" spans="5:8" x14ac:dyDescent="0.25">
      <c r="E14282" s="34"/>
      <c r="G14282" s="34"/>
      <c r="H14282" s="4"/>
    </row>
    <row r="14283" spans="5:8" x14ac:dyDescent="0.25">
      <c r="E14283" s="34"/>
      <c r="G14283" s="34"/>
      <c r="H14283" s="4"/>
    </row>
    <row r="14284" spans="5:8" x14ac:dyDescent="0.25">
      <c r="E14284" s="34"/>
      <c r="G14284" s="34"/>
      <c r="H14284" s="4"/>
    </row>
    <row r="14285" spans="5:8" x14ac:dyDescent="0.25">
      <c r="E14285" s="34"/>
      <c r="G14285" s="34"/>
      <c r="H14285" s="4"/>
    </row>
    <row r="14286" spans="5:8" x14ac:dyDescent="0.25">
      <c r="E14286" s="34"/>
      <c r="G14286" s="34"/>
      <c r="H14286" s="4"/>
    </row>
    <row r="14287" spans="5:8" x14ac:dyDescent="0.25">
      <c r="E14287" s="34"/>
      <c r="G14287" s="34"/>
      <c r="H14287" s="4"/>
    </row>
    <row r="14288" spans="5:8" x14ac:dyDescent="0.25">
      <c r="E14288" s="34"/>
      <c r="G14288" s="34"/>
      <c r="H14288" s="4"/>
    </row>
    <row r="14289" spans="5:8" x14ac:dyDescent="0.25">
      <c r="E14289" s="34"/>
      <c r="G14289" s="34"/>
      <c r="H14289" s="4"/>
    </row>
    <row r="14290" spans="5:8" x14ac:dyDescent="0.25">
      <c r="E14290" s="34"/>
      <c r="G14290" s="34"/>
      <c r="H14290" s="4"/>
    </row>
    <row r="14291" spans="5:8" x14ac:dyDescent="0.25">
      <c r="E14291" s="34"/>
      <c r="G14291" s="34"/>
      <c r="H14291" s="4"/>
    </row>
    <row r="14292" spans="5:8" x14ac:dyDescent="0.25">
      <c r="E14292" s="34"/>
      <c r="G14292" s="34"/>
      <c r="H14292" s="4"/>
    </row>
    <row r="14293" spans="5:8" x14ac:dyDescent="0.25">
      <c r="E14293" s="34"/>
      <c r="G14293" s="34"/>
      <c r="H14293" s="4"/>
    </row>
    <row r="14294" spans="5:8" x14ac:dyDescent="0.25">
      <c r="E14294" s="34"/>
      <c r="G14294" s="34"/>
      <c r="H14294" s="4"/>
    </row>
    <row r="14295" spans="5:8" x14ac:dyDescent="0.25">
      <c r="E14295" s="34"/>
      <c r="G14295" s="34"/>
      <c r="H14295" s="4"/>
    </row>
    <row r="14296" spans="5:8" x14ac:dyDescent="0.25">
      <c r="E14296" s="34"/>
      <c r="G14296" s="34"/>
      <c r="H14296" s="4"/>
    </row>
    <row r="14297" spans="5:8" x14ac:dyDescent="0.25">
      <c r="E14297" s="34"/>
      <c r="G14297" s="34"/>
      <c r="H14297" s="4"/>
    </row>
    <row r="14298" spans="5:8" x14ac:dyDescent="0.25">
      <c r="E14298" s="34"/>
      <c r="G14298" s="34"/>
      <c r="H14298" s="4"/>
    </row>
    <row r="14299" spans="5:8" x14ac:dyDescent="0.25">
      <c r="E14299" s="34"/>
      <c r="G14299" s="34"/>
      <c r="H14299" s="4"/>
    </row>
    <row r="14300" spans="5:8" x14ac:dyDescent="0.25">
      <c r="E14300" s="34"/>
      <c r="G14300" s="34"/>
      <c r="H14300" s="4"/>
    </row>
    <row r="14301" spans="5:8" x14ac:dyDescent="0.25">
      <c r="E14301" s="34"/>
      <c r="G14301" s="34"/>
      <c r="H14301" s="4"/>
    </row>
    <row r="14302" spans="5:8" x14ac:dyDescent="0.25">
      <c r="E14302" s="34"/>
      <c r="G14302" s="34"/>
      <c r="H14302" s="4"/>
    </row>
    <row r="14303" spans="5:8" x14ac:dyDescent="0.25">
      <c r="E14303" s="34"/>
      <c r="G14303" s="34"/>
      <c r="H14303" s="4"/>
    </row>
    <row r="14304" spans="5:8" x14ac:dyDescent="0.25">
      <c r="E14304" s="34"/>
      <c r="G14304" s="34"/>
      <c r="H14304" s="4"/>
    </row>
    <row r="14305" spans="5:8" x14ac:dyDescent="0.25">
      <c r="E14305" s="34"/>
      <c r="G14305" s="34"/>
      <c r="H14305" s="4"/>
    </row>
    <row r="14306" spans="5:8" x14ac:dyDescent="0.25">
      <c r="E14306" s="34"/>
      <c r="G14306" s="34"/>
      <c r="H14306" s="4"/>
    </row>
    <row r="14307" spans="5:8" x14ac:dyDescent="0.25">
      <c r="E14307" s="34"/>
      <c r="G14307" s="34"/>
      <c r="H14307" s="4"/>
    </row>
    <row r="14308" spans="5:8" x14ac:dyDescent="0.25">
      <c r="E14308" s="34"/>
      <c r="G14308" s="34"/>
      <c r="H14308" s="4"/>
    </row>
    <row r="14309" spans="5:8" x14ac:dyDescent="0.25">
      <c r="E14309" s="34"/>
      <c r="G14309" s="34"/>
      <c r="H14309" s="4"/>
    </row>
    <row r="14310" spans="5:8" x14ac:dyDescent="0.25">
      <c r="E14310" s="34"/>
      <c r="G14310" s="34"/>
      <c r="H14310" s="4"/>
    </row>
    <row r="14311" spans="5:8" x14ac:dyDescent="0.25">
      <c r="E14311" s="34"/>
      <c r="G14311" s="34"/>
      <c r="H14311" s="4"/>
    </row>
    <row r="14312" spans="5:8" x14ac:dyDescent="0.25">
      <c r="E14312" s="34"/>
      <c r="G14312" s="34"/>
      <c r="H14312" s="4"/>
    </row>
    <row r="14313" spans="5:8" x14ac:dyDescent="0.25">
      <c r="E14313" s="34"/>
      <c r="G14313" s="34"/>
      <c r="H14313" s="4"/>
    </row>
    <row r="14314" spans="5:8" x14ac:dyDescent="0.25">
      <c r="E14314" s="34"/>
      <c r="G14314" s="34"/>
      <c r="H14314" s="4"/>
    </row>
    <row r="14315" spans="5:8" x14ac:dyDescent="0.25">
      <c r="E14315" s="34"/>
      <c r="G14315" s="34"/>
      <c r="H14315" s="4"/>
    </row>
    <row r="14316" spans="5:8" x14ac:dyDescent="0.25">
      <c r="E14316" s="34"/>
      <c r="G14316" s="34"/>
      <c r="H14316" s="4"/>
    </row>
    <row r="14317" spans="5:8" x14ac:dyDescent="0.25">
      <c r="E14317" s="34"/>
      <c r="G14317" s="34"/>
      <c r="H14317" s="4"/>
    </row>
    <row r="14318" spans="5:8" x14ac:dyDescent="0.25">
      <c r="E14318" s="34"/>
      <c r="G14318" s="34"/>
      <c r="H14318" s="4"/>
    </row>
    <row r="14319" spans="5:8" x14ac:dyDescent="0.25">
      <c r="E14319" s="34"/>
      <c r="G14319" s="34"/>
      <c r="H14319" s="4"/>
    </row>
    <row r="14320" spans="5:8" x14ac:dyDescent="0.25">
      <c r="E14320" s="34"/>
      <c r="G14320" s="34"/>
      <c r="H14320" s="4"/>
    </row>
    <row r="14321" spans="5:8" x14ac:dyDescent="0.25">
      <c r="E14321" s="34"/>
      <c r="G14321" s="34"/>
      <c r="H14321" s="4"/>
    </row>
    <row r="14322" spans="5:8" x14ac:dyDescent="0.25">
      <c r="E14322" s="34"/>
      <c r="G14322" s="34"/>
      <c r="H14322" s="4"/>
    </row>
    <row r="14323" spans="5:8" x14ac:dyDescent="0.25">
      <c r="E14323" s="34"/>
      <c r="G14323" s="34"/>
      <c r="H14323" s="4"/>
    </row>
    <row r="14324" spans="5:8" x14ac:dyDescent="0.25">
      <c r="E14324" s="34"/>
      <c r="G14324" s="34"/>
      <c r="H14324" s="4"/>
    </row>
    <row r="14325" spans="5:8" x14ac:dyDescent="0.25">
      <c r="E14325" s="34"/>
      <c r="G14325" s="34"/>
      <c r="H14325" s="4"/>
    </row>
    <row r="14326" spans="5:8" x14ac:dyDescent="0.25">
      <c r="E14326" s="34"/>
      <c r="G14326" s="34"/>
      <c r="H14326" s="4"/>
    </row>
    <row r="14327" spans="5:8" x14ac:dyDescent="0.25">
      <c r="E14327" s="34"/>
      <c r="G14327" s="34"/>
      <c r="H14327" s="4"/>
    </row>
    <row r="14328" spans="5:8" x14ac:dyDescent="0.25">
      <c r="E14328" s="34"/>
      <c r="G14328" s="34"/>
      <c r="H14328" s="4"/>
    </row>
    <row r="14329" spans="5:8" x14ac:dyDescent="0.25">
      <c r="E14329" s="34"/>
      <c r="G14329" s="34"/>
      <c r="H14329" s="4"/>
    </row>
    <row r="14330" spans="5:8" x14ac:dyDescent="0.25">
      <c r="E14330" s="34"/>
      <c r="G14330" s="34"/>
      <c r="H14330" s="4"/>
    </row>
    <row r="14331" spans="5:8" x14ac:dyDescent="0.25">
      <c r="E14331" s="34"/>
      <c r="G14331" s="34"/>
      <c r="H14331" s="4"/>
    </row>
    <row r="14332" spans="5:8" x14ac:dyDescent="0.25">
      <c r="E14332" s="34"/>
      <c r="G14332" s="34"/>
      <c r="H14332" s="4"/>
    </row>
    <row r="14333" spans="5:8" x14ac:dyDescent="0.25">
      <c r="E14333" s="34"/>
      <c r="G14333" s="34"/>
      <c r="H14333" s="4"/>
    </row>
    <row r="14334" spans="5:8" x14ac:dyDescent="0.25">
      <c r="E14334" s="34"/>
      <c r="G14334" s="34"/>
      <c r="H14334" s="4"/>
    </row>
    <row r="14335" spans="5:8" x14ac:dyDescent="0.25">
      <c r="E14335" s="34"/>
      <c r="G14335" s="34"/>
      <c r="H14335" s="4"/>
    </row>
    <row r="14336" spans="5:8" x14ac:dyDescent="0.25">
      <c r="E14336" s="34"/>
      <c r="G14336" s="34"/>
      <c r="H14336" s="4"/>
    </row>
    <row r="14337" spans="5:8" x14ac:dyDescent="0.25">
      <c r="E14337" s="34"/>
      <c r="G14337" s="34"/>
      <c r="H14337" s="4"/>
    </row>
    <row r="14338" spans="5:8" x14ac:dyDescent="0.25">
      <c r="E14338" s="34"/>
      <c r="G14338" s="34"/>
      <c r="H14338" s="4"/>
    </row>
    <row r="14339" spans="5:8" x14ac:dyDescent="0.25">
      <c r="E14339" s="34"/>
      <c r="G14339" s="34"/>
      <c r="H14339" s="4"/>
    </row>
    <row r="14340" spans="5:8" x14ac:dyDescent="0.25">
      <c r="E14340" s="34"/>
      <c r="G14340" s="34"/>
      <c r="H14340" s="4"/>
    </row>
    <row r="14341" spans="5:8" x14ac:dyDescent="0.25">
      <c r="E14341" s="34"/>
      <c r="G14341" s="34"/>
      <c r="H14341" s="4"/>
    </row>
    <row r="14342" spans="5:8" x14ac:dyDescent="0.25">
      <c r="E14342" s="34"/>
      <c r="G14342" s="34"/>
      <c r="H14342" s="4"/>
    </row>
    <row r="14343" spans="5:8" x14ac:dyDescent="0.25">
      <c r="E14343" s="34"/>
      <c r="G14343" s="34"/>
      <c r="H14343" s="4"/>
    </row>
    <row r="14344" spans="5:8" x14ac:dyDescent="0.25">
      <c r="E14344" s="34"/>
      <c r="G14344" s="34"/>
      <c r="H14344" s="4"/>
    </row>
    <row r="14345" spans="5:8" x14ac:dyDescent="0.25">
      <c r="E14345" s="34"/>
      <c r="G14345" s="34"/>
      <c r="H14345" s="4"/>
    </row>
    <row r="14346" spans="5:8" x14ac:dyDescent="0.25">
      <c r="E14346" s="34"/>
      <c r="G14346" s="34"/>
      <c r="H14346" s="4"/>
    </row>
    <row r="14347" spans="5:8" x14ac:dyDescent="0.25">
      <c r="E14347" s="34"/>
      <c r="G14347" s="34"/>
      <c r="H14347" s="4"/>
    </row>
    <row r="14348" spans="5:8" x14ac:dyDescent="0.25">
      <c r="E14348" s="34"/>
      <c r="G14348" s="34"/>
      <c r="H14348" s="4"/>
    </row>
    <row r="14349" spans="5:8" x14ac:dyDescent="0.25">
      <c r="E14349" s="34"/>
      <c r="G14349" s="34"/>
      <c r="H14349" s="4"/>
    </row>
    <row r="14350" spans="5:8" x14ac:dyDescent="0.25">
      <c r="E14350" s="34"/>
      <c r="G14350" s="34"/>
      <c r="H14350" s="4"/>
    </row>
    <row r="14351" spans="5:8" x14ac:dyDescent="0.25">
      <c r="E14351" s="34"/>
      <c r="G14351" s="34"/>
      <c r="H14351" s="4"/>
    </row>
    <row r="14352" spans="5:8" x14ac:dyDescent="0.25">
      <c r="E14352" s="34"/>
      <c r="G14352" s="34"/>
      <c r="H14352" s="4"/>
    </row>
    <row r="14353" spans="5:8" x14ac:dyDescent="0.25">
      <c r="E14353" s="34"/>
      <c r="G14353" s="34"/>
      <c r="H14353" s="4"/>
    </row>
    <row r="14354" spans="5:8" x14ac:dyDescent="0.25">
      <c r="E14354" s="34"/>
      <c r="G14354" s="34"/>
      <c r="H14354" s="4"/>
    </row>
    <row r="14355" spans="5:8" x14ac:dyDescent="0.25">
      <c r="E14355" s="34"/>
      <c r="G14355" s="34"/>
      <c r="H14355" s="4"/>
    </row>
    <row r="14356" spans="5:8" x14ac:dyDescent="0.25">
      <c r="E14356" s="34"/>
      <c r="G14356" s="34"/>
      <c r="H14356" s="4"/>
    </row>
    <row r="14357" spans="5:8" x14ac:dyDescent="0.25">
      <c r="E14357" s="34"/>
      <c r="G14357" s="34"/>
      <c r="H14357" s="4"/>
    </row>
    <row r="14358" spans="5:8" x14ac:dyDescent="0.25">
      <c r="E14358" s="34"/>
      <c r="G14358" s="34"/>
      <c r="H14358" s="4"/>
    </row>
    <row r="14359" spans="5:8" x14ac:dyDescent="0.25">
      <c r="E14359" s="34"/>
      <c r="G14359" s="34"/>
      <c r="H14359" s="4"/>
    </row>
    <row r="14360" spans="5:8" x14ac:dyDescent="0.25">
      <c r="E14360" s="34"/>
      <c r="G14360" s="34"/>
      <c r="H14360" s="4"/>
    </row>
    <row r="14361" spans="5:8" x14ac:dyDescent="0.25">
      <c r="E14361" s="34"/>
      <c r="G14361" s="34"/>
      <c r="H14361" s="4"/>
    </row>
    <row r="14362" spans="5:8" x14ac:dyDescent="0.25">
      <c r="E14362" s="34"/>
      <c r="G14362" s="34"/>
      <c r="H14362" s="4"/>
    </row>
    <row r="14363" spans="5:8" x14ac:dyDescent="0.25">
      <c r="E14363" s="34"/>
      <c r="G14363" s="34"/>
      <c r="H14363" s="4"/>
    </row>
    <row r="14364" spans="5:8" x14ac:dyDescent="0.25">
      <c r="E14364" s="34"/>
      <c r="G14364" s="34"/>
      <c r="H14364" s="4"/>
    </row>
    <row r="14365" spans="5:8" x14ac:dyDescent="0.25">
      <c r="E14365" s="34"/>
      <c r="G14365" s="34"/>
      <c r="H14365" s="4"/>
    </row>
    <row r="14366" spans="5:8" x14ac:dyDescent="0.25">
      <c r="E14366" s="34"/>
      <c r="G14366" s="34"/>
      <c r="H14366" s="4"/>
    </row>
    <row r="14367" spans="5:8" x14ac:dyDescent="0.25">
      <c r="E14367" s="34"/>
      <c r="G14367" s="34"/>
      <c r="H14367" s="4"/>
    </row>
    <row r="14368" spans="5:8" x14ac:dyDescent="0.25">
      <c r="E14368" s="34"/>
      <c r="G14368" s="34"/>
      <c r="H14368" s="4"/>
    </row>
    <row r="14369" spans="5:8" x14ac:dyDescent="0.25">
      <c r="E14369" s="34"/>
      <c r="G14369" s="34"/>
      <c r="H14369" s="4"/>
    </row>
    <row r="14370" spans="5:8" x14ac:dyDescent="0.25">
      <c r="E14370" s="34"/>
      <c r="G14370" s="34"/>
      <c r="H14370" s="4"/>
    </row>
    <row r="14371" spans="5:8" x14ac:dyDescent="0.25">
      <c r="E14371" s="34"/>
      <c r="G14371" s="34"/>
      <c r="H14371" s="4"/>
    </row>
    <row r="14372" spans="5:8" x14ac:dyDescent="0.25">
      <c r="E14372" s="34"/>
      <c r="G14372" s="34"/>
      <c r="H14372" s="4"/>
    </row>
    <row r="14373" spans="5:8" x14ac:dyDescent="0.25">
      <c r="E14373" s="34"/>
      <c r="G14373" s="34"/>
      <c r="H14373" s="4"/>
    </row>
    <row r="14374" spans="5:8" x14ac:dyDescent="0.25">
      <c r="E14374" s="34"/>
      <c r="G14374" s="34"/>
      <c r="H14374" s="4"/>
    </row>
    <row r="14375" spans="5:8" x14ac:dyDescent="0.25">
      <c r="E14375" s="34"/>
      <c r="G14375" s="34"/>
      <c r="H14375" s="4"/>
    </row>
    <row r="14376" spans="5:8" x14ac:dyDescent="0.25">
      <c r="E14376" s="34"/>
      <c r="G14376" s="34"/>
      <c r="H14376" s="4"/>
    </row>
    <row r="14377" spans="5:8" x14ac:dyDescent="0.25">
      <c r="E14377" s="34"/>
      <c r="G14377" s="34"/>
      <c r="H14377" s="4"/>
    </row>
    <row r="14378" spans="5:8" x14ac:dyDescent="0.25">
      <c r="E14378" s="34"/>
      <c r="G14378" s="34"/>
      <c r="H14378" s="4"/>
    </row>
    <row r="14379" spans="5:8" x14ac:dyDescent="0.25">
      <c r="E14379" s="34"/>
      <c r="G14379" s="34"/>
      <c r="H14379" s="4"/>
    </row>
    <row r="14380" spans="5:8" x14ac:dyDescent="0.25">
      <c r="E14380" s="34"/>
      <c r="G14380" s="34"/>
      <c r="H14380" s="4"/>
    </row>
    <row r="14381" spans="5:8" x14ac:dyDescent="0.25">
      <c r="E14381" s="34"/>
      <c r="G14381" s="34"/>
      <c r="H14381" s="4"/>
    </row>
    <row r="14382" spans="5:8" x14ac:dyDescent="0.25">
      <c r="E14382" s="34"/>
      <c r="G14382" s="34"/>
      <c r="H14382" s="4"/>
    </row>
    <row r="14383" spans="5:8" x14ac:dyDescent="0.25">
      <c r="E14383" s="34"/>
      <c r="G14383" s="34"/>
      <c r="H14383" s="4"/>
    </row>
    <row r="14384" spans="5:8" x14ac:dyDescent="0.25">
      <c r="E14384" s="34"/>
      <c r="G14384" s="34"/>
      <c r="H14384" s="4"/>
    </row>
    <row r="14385" spans="5:8" x14ac:dyDescent="0.25">
      <c r="E14385" s="34"/>
      <c r="G14385" s="34"/>
      <c r="H14385" s="4"/>
    </row>
    <row r="14386" spans="5:8" x14ac:dyDescent="0.25">
      <c r="E14386" s="34"/>
      <c r="G14386" s="34"/>
      <c r="H14386" s="4"/>
    </row>
    <row r="14387" spans="5:8" x14ac:dyDescent="0.25">
      <c r="E14387" s="34"/>
      <c r="G14387" s="34"/>
      <c r="H14387" s="4"/>
    </row>
    <row r="14388" spans="5:8" x14ac:dyDescent="0.25">
      <c r="E14388" s="34"/>
      <c r="G14388" s="34"/>
      <c r="H14388" s="4"/>
    </row>
    <row r="14389" spans="5:8" x14ac:dyDescent="0.25">
      <c r="E14389" s="34"/>
      <c r="G14389" s="34"/>
      <c r="H14389" s="4"/>
    </row>
    <row r="14390" spans="5:8" x14ac:dyDescent="0.25">
      <c r="E14390" s="34"/>
      <c r="G14390" s="34"/>
      <c r="H14390" s="4"/>
    </row>
    <row r="14391" spans="5:8" x14ac:dyDescent="0.25">
      <c r="E14391" s="34"/>
      <c r="G14391" s="34"/>
      <c r="H14391" s="4"/>
    </row>
    <row r="14392" spans="5:8" x14ac:dyDescent="0.25">
      <c r="E14392" s="34"/>
      <c r="G14392" s="34"/>
      <c r="H14392" s="4"/>
    </row>
    <row r="14393" spans="5:8" x14ac:dyDescent="0.25">
      <c r="E14393" s="34"/>
      <c r="G14393" s="34"/>
      <c r="H14393" s="4"/>
    </row>
    <row r="14394" spans="5:8" x14ac:dyDescent="0.25">
      <c r="E14394" s="34"/>
      <c r="G14394" s="34"/>
      <c r="H14394" s="4"/>
    </row>
    <row r="14395" spans="5:8" x14ac:dyDescent="0.25">
      <c r="E14395" s="34"/>
      <c r="G14395" s="34"/>
      <c r="H14395" s="4"/>
    </row>
    <row r="14396" spans="5:8" x14ac:dyDescent="0.25">
      <c r="E14396" s="34"/>
      <c r="G14396" s="34"/>
      <c r="H14396" s="4"/>
    </row>
    <row r="14397" spans="5:8" x14ac:dyDescent="0.25">
      <c r="E14397" s="34"/>
      <c r="G14397" s="34"/>
      <c r="H14397" s="4"/>
    </row>
    <row r="14398" spans="5:8" x14ac:dyDescent="0.25">
      <c r="E14398" s="34"/>
      <c r="G14398" s="34"/>
      <c r="H14398" s="4"/>
    </row>
    <row r="14399" spans="5:8" x14ac:dyDescent="0.25">
      <c r="E14399" s="34"/>
      <c r="G14399" s="34"/>
      <c r="H14399" s="4"/>
    </row>
    <row r="14400" spans="5:8" x14ac:dyDescent="0.25">
      <c r="E14400" s="34"/>
      <c r="G14400" s="34"/>
      <c r="H14400" s="4"/>
    </row>
    <row r="14401" spans="5:8" x14ac:dyDescent="0.25">
      <c r="E14401" s="34"/>
      <c r="G14401" s="34"/>
      <c r="H14401" s="4"/>
    </row>
    <row r="14402" spans="5:8" x14ac:dyDescent="0.25">
      <c r="E14402" s="34"/>
      <c r="G14402" s="34"/>
      <c r="H14402" s="4"/>
    </row>
    <row r="14403" spans="5:8" x14ac:dyDescent="0.25">
      <c r="E14403" s="34"/>
      <c r="G14403" s="34"/>
      <c r="H14403" s="4"/>
    </row>
    <row r="14404" spans="5:8" x14ac:dyDescent="0.25">
      <c r="E14404" s="34"/>
      <c r="G14404" s="34"/>
      <c r="H14404" s="4"/>
    </row>
    <row r="14405" spans="5:8" x14ac:dyDescent="0.25">
      <c r="E14405" s="34"/>
      <c r="G14405" s="34"/>
      <c r="H14405" s="4"/>
    </row>
    <row r="14406" spans="5:8" x14ac:dyDescent="0.25">
      <c r="E14406" s="34"/>
      <c r="G14406" s="34"/>
      <c r="H14406" s="4"/>
    </row>
    <row r="14407" spans="5:8" x14ac:dyDescent="0.25">
      <c r="E14407" s="34"/>
      <c r="G14407" s="34"/>
      <c r="H14407" s="4"/>
    </row>
    <row r="14408" spans="5:8" x14ac:dyDescent="0.25">
      <c r="E14408" s="34"/>
      <c r="G14408" s="34"/>
      <c r="H14408" s="4"/>
    </row>
    <row r="14409" spans="5:8" x14ac:dyDescent="0.25">
      <c r="E14409" s="34"/>
      <c r="G14409" s="34"/>
      <c r="H14409" s="4"/>
    </row>
    <row r="14410" spans="5:8" x14ac:dyDescent="0.25">
      <c r="E14410" s="34"/>
      <c r="G14410" s="34"/>
      <c r="H14410" s="4"/>
    </row>
    <row r="14411" spans="5:8" x14ac:dyDescent="0.25">
      <c r="E14411" s="34"/>
      <c r="G14411" s="34"/>
      <c r="H14411" s="4"/>
    </row>
    <row r="14412" spans="5:8" x14ac:dyDescent="0.25">
      <c r="E14412" s="34"/>
      <c r="G14412" s="34"/>
      <c r="H14412" s="4"/>
    </row>
    <row r="14413" spans="5:8" x14ac:dyDescent="0.25">
      <c r="E14413" s="34"/>
      <c r="G14413" s="34"/>
      <c r="H14413" s="4"/>
    </row>
    <row r="14414" spans="5:8" x14ac:dyDescent="0.25">
      <c r="E14414" s="34"/>
      <c r="G14414" s="34"/>
      <c r="H14414" s="4"/>
    </row>
    <row r="14415" spans="5:8" x14ac:dyDescent="0.25">
      <c r="E14415" s="34"/>
      <c r="G14415" s="34"/>
      <c r="H14415" s="4"/>
    </row>
    <row r="14416" spans="5:8" x14ac:dyDescent="0.25">
      <c r="E14416" s="34"/>
      <c r="G14416" s="34"/>
      <c r="H14416" s="4"/>
    </row>
    <row r="14417" spans="5:8" x14ac:dyDescent="0.25">
      <c r="E14417" s="34"/>
      <c r="G14417" s="34"/>
      <c r="H14417" s="4"/>
    </row>
    <row r="14418" spans="5:8" x14ac:dyDescent="0.25">
      <c r="E14418" s="34"/>
      <c r="G14418" s="34"/>
      <c r="H14418" s="4"/>
    </row>
    <row r="14419" spans="5:8" x14ac:dyDescent="0.25">
      <c r="E14419" s="34"/>
      <c r="G14419" s="34"/>
      <c r="H14419" s="4"/>
    </row>
    <row r="14420" spans="5:8" x14ac:dyDescent="0.25">
      <c r="E14420" s="34"/>
      <c r="G14420" s="34"/>
      <c r="H14420" s="4"/>
    </row>
    <row r="14421" spans="5:8" x14ac:dyDescent="0.25">
      <c r="E14421" s="34"/>
      <c r="G14421" s="34"/>
      <c r="H14421" s="4"/>
    </row>
    <row r="14422" spans="5:8" x14ac:dyDescent="0.25">
      <c r="E14422" s="34"/>
      <c r="G14422" s="34"/>
      <c r="H14422" s="4"/>
    </row>
    <row r="14423" spans="5:8" x14ac:dyDescent="0.25">
      <c r="E14423" s="34"/>
      <c r="G14423" s="34"/>
      <c r="H14423" s="4"/>
    </row>
    <row r="14424" spans="5:8" x14ac:dyDescent="0.25">
      <c r="E14424" s="34"/>
      <c r="G14424" s="34"/>
      <c r="H14424" s="4"/>
    </row>
    <row r="14425" spans="5:8" x14ac:dyDescent="0.25">
      <c r="E14425" s="34"/>
      <c r="G14425" s="34"/>
      <c r="H14425" s="4"/>
    </row>
    <row r="14426" spans="5:8" x14ac:dyDescent="0.25">
      <c r="E14426" s="34"/>
      <c r="G14426" s="34"/>
      <c r="H14426" s="4"/>
    </row>
    <row r="14427" spans="5:8" x14ac:dyDescent="0.25">
      <c r="E14427" s="34"/>
      <c r="G14427" s="34"/>
      <c r="H14427" s="4"/>
    </row>
    <row r="14428" spans="5:8" x14ac:dyDescent="0.25">
      <c r="E14428" s="34"/>
      <c r="G14428" s="34"/>
      <c r="H14428" s="4"/>
    </row>
    <row r="14429" spans="5:8" x14ac:dyDescent="0.25">
      <c r="E14429" s="34"/>
      <c r="G14429" s="34"/>
      <c r="H14429" s="4"/>
    </row>
    <row r="14430" spans="5:8" x14ac:dyDescent="0.25">
      <c r="E14430" s="34"/>
      <c r="G14430" s="34"/>
      <c r="H14430" s="4"/>
    </row>
    <row r="14431" spans="5:8" x14ac:dyDescent="0.25">
      <c r="E14431" s="34"/>
      <c r="G14431" s="34"/>
      <c r="H14431" s="4"/>
    </row>
    <row r="14432" spans="5:8" x14ac:dyDescent="0.25">
      <c r="E14432" s="34"/>
      <c r="G14432" s="34"/>
      <c r="H14432" s="4"/>
    </row>
    <row r="14433" spans="5:8" x14ac:dyDescent="0.25">
      <c r="E14433" s="34"/>
      <c r="G14433" s="34"/>
      <c r="H14433" s="4"/>
    </row>
    <row r="14434" spans="5:8" x14ac:dyDescent="0.25">
      <c r="E14434" s="34"/>
      <c r="G14434" s="34"/>
      <c r="H14434" s="4"/>
    </row>
    <row r="14435" spans="5:8" x14ac:dyDescent="0.25">
      <c r="E14435" s="34"/>
      <c r="G14435" s="34"/>
      <c r="H14435" s="4"/>
    </row>
    <row r="14436" spans="5:8" x14ac:dyDescent="0.25">
      <c r="E14436" s="34"/>
      <c r="G14436" s="34"/>
      <c r="H14436" s="4"/>
    </row>
    <row r="14437" spans="5:8" x14ac:dyDescent="0.25">
      <c r="E14437" s="34"/>
      <c r="G14437" s="34"/>
      <c r="H14437" s="4"/>
    </row>
    <row r="14438" spans="5:8" x14ac:dyDescent="0.25">
      <c r="E14438" s="34"/>
      <c r="G14438" s="34"/>
      <c r="H14438" s="4"/>
    </row>
    <row r="14439" spans="5:8" x14ac:dyDescent="0.25">
      <c r="E14439" s="34"/>
      <c r="G14439" s="34"/>
      <c r="H14439" s="4"/>
    </row>
    <row r="14440" spans="5:8" x14ac:dyDescent="0.25">
      <c r="E14440" s="34"/>
      <c r="G14440" s="34"/>
      <c r="H14440" s="4"/>
    </row>
    <row r="14441" spans="5:8" x14ac:dyDescent="0.25">
      <c r="E14441" s="34"/>
      <c r="G14441" s="34"/>
      <c r="H14441" s="4"/>
    </row>
    <row r="14442" spans="5:8" x14ac:dyDescent="0.25">
      <c r="E14442" s="34"/>
      <c r="G14442" s="34"/>
      <c r="H14442" s="4"/>
    </row>
    <row r="14443" spans="5:8" x14ac:dyDescent="0.25">
      <c r="E14443" s="34"/>
      <c r="G14443" s="34"/>
      <c r="H14443" s="4"/>
    </row>
    <row r="14444" spans="5:8" x14ac:dyDescent="0.25">
      <c r="E14444" s="34"/>
      <c r="G14444" s="34"/>
      <c r="H14444" s="4"/>
    </row>
    <row r="14445" spans="5:8" x14ac:dyDescent="0.25">
      <c r="E14445" s="34"/>
      <c r="G14445" s="34"/>
      <c r="H14445" s="4"/>
    </row>
    <row r="14446" spans="5:8" x14ac:dyDescent="0.25">
      <c r="E14446" s="34"/>
      <c r="G14446" s="34"/>
      <c r="H14446" s="4"/>
    </row>
    <row r="14447" spans="5:8" x14ac:dyDescent="0.25">
      <c r="E14447" s="34"/>
      <c r="G14447" s="34"/>
      <c r="H14447" s="4"/>
    </row>
    <row r="14448" spans="5:8" x14ac:dyDescent="0.25">
      <c r="E14448" s="34"/>
      <c r="G14448" s="34"/>
      <c r="H14448" s="4"/>
    </row>
    <row r="14449" spans="5:8" x14ac:dyDescent="0.25">
      <c r="E14449" s="34"/>
      <c r="G14449" s="34"/>
      <c r="H14449" s="4"/>
    </row>
    <row r="14450" spans="5:8" x14ac:dyDescent="0.25">
      <c r="E14450" s="34"/>
      <c r="G14450" s="34"/>
      <c r="H14450" s="4"/>
    </row>
    <row r="14451" spans="5:8" x14ac:dyDescent="0.25">
      <c r="E14451" s="34"/>
      <c r="G14451" s="34"/>
      <c r="H14451" s="4"/>
    </row>
    <row r="14452" spans="5:8" x14ac:dyDescent="0.25">
      <c r="E14452" s="34"/>
      <c r="G14452" s="34"/>
      <c r="H14452" s="4"/>
    </row>
    <row r="14453" spans="5:8" x14ac:dyDescent="0.25">
      <c r="E14453" s="34"/>
      <c r="G14453" s="34"/>
      <c r="H14453" s="4"/>
    </row>
    <row r="14454" spans="5:8" x14ac:dyDescent="0.25">
      <c r="E14454" s="34"/>
      <c r="G14454" s="34"/>
      <c r="H14454" s="4"/>
    </row>
    <row r="14455" spans="5:8" x14ac:dyDescent="0.25">
      <c r="E14455" s="34"/>
      <c r="G14455" s="34"/>
      <c r="H14455" s="4"/>
    </row>
    <row r="14456" spans="5:8" x14ac:dyDescent="0.25">
      <c r="E14456" s="34"/>
      <c r="G14456" s="34"/>
      <c r="H14456" s="4"/>
    </row>
    <row r="14457" spans="5:8" x14ac:dyDescent="0.25">
      <c r="E14457" s="34"/>
      <c r="G14457" s="34"/>
      <c r="H14457" s="4"/>
    </row>
    <row r="14458" spans="5:8" x14ac:dyDescent="0.25">
      <c r="E14458" s="34"/>
      <c r="G14458" s="34"/>
      <c r="H14458" s="4"/>
    </row>
    <row r="14459" spans="5:8" x14ac:dyDescent="0.25">
      <c r="E14459" s="34"/>
      <c r="G14459" s="34"/>
      <c r="H14459" s="4"/>
    </row>
    <row r="14460" spans="5:8" x14ac:dyDescent="0.25">
      <c r="E14460" s="34"/>
      <c r="G14460" s="34"/>
      <c r="H14460" s="4"/>
    </row>
    <row r="14461" spans="5:8" x14ac:dyDescent="0.25">
      <c r="E14461" s="34"/>
      <c r="G14461" s="34"/>
      <c r="H14461" s="4"/>
    </row>
    <row r="14462" spans="5:8" x14ac:dyDescent="0.25">
      <c r="E14462" s="34"/>
      <c r="G14462" s="34"/>
      <c r="H14462" s="4"/>
    </row>
    <row r="14463" spans="5:8" x14ac:dyDescent="0.25">
      <c r="E14463" s="34"/>
      <c r="G14463" s="34"/>
      <c r="H14463" s="4"/>
    </row>
    <row r="14464" spans="5:8" x14ac:dyDescent="0.25">
      <c r="E14464" s="34"/>
      <c r="G14464" s="34"/>
      <c r="H14464" s="4"/>
    </row>
    <row r="14465" spans="5:8" x14ac:dyDescent="0.25">
      <c r="E14465" s="34"/>
      <c r="G14465" s="34"/>
      <c r="H14465" s="4"/>
    </row>
    <row r="14466" spans="5:8" x14ac:dyDescent="0.25">
      <c r="E14466" s="34"/>
      <c r="G14466" s="34"/>
      <c r="H14466" s="4"/>
    </row>
    <row r="14467" spans="5:8" x14ac:dyDescent="0.25">
      <c r="E14467" s="34"/>
      <c r="G14467" s="34"/>
      <c r="H14467" s="4"/>
    </row>
    <row r="14468" spans="5:8" x14ac:dyDescent="0.25">
      <c r="E14468" s="34"/>
      <c r="G14468" s="34"/>
      <c r="H14468" s="4"/>
    </row>
    <row r="14469" spans="5:8" x14ac:dyDescent="0.25">
      <c r="E14469" s="34"/>
      <c r="G14469" s="34"/>
      <c r="H14469" s="4"/>
    </row>
    <row r="14470" spans="5:8" x14ac:dyDescent="0.25">
      <c r="E14470" s="34"/>
      <c r="G14470" s="34"/>
      <c r="H14470" s="4"/>
    </row>
    <row r="14471" spans="5:8" x14ac:dyDescent="0.25">
      <c r="E14471" s="34"/>
      <c r="G14471" s="34"/>
      <c r="H14471" s="4"/>
    </row>
    <row r="14472" spans="5:8" x14ac:dyDescent="0.25">
      <c r="E14472" s="34"/>
      <c r="G14472" s="34"/>
      <c r="H14472" s="4"/>
    </row>
    <row r="14473" spans="5:8" x14ac:dyDescent="0.25">
      <c r="E14473" s="34"/>
      <c r="G14473" s="34"/>
      <c r="H14473" s="4"/>
    </row>
    <row r="14474" spans="5:8" x14ac:dyDescent="0.25">
      <c r="E14474" s="34"/>
      <c r="G14474" s="34"/>
      <c r="H14474" s="4"/>
    </row>
    <row r="14475" spans="5:8" x14ac:dyDescent="0.25">
      <c r="E14475" s="34"/>
      <c r="G14475" s="34"/>
      <c r="H14475" s="4"/>
    </row>
    <row r="14476" spans="5:8" x14ac:dyDescent="0.25">
      <c r="E14476" s="34"/>
      <c r="G14476" s="34"/>
      <c r="H14476" s="4"/>
    </row>
    <row r="14477" spans="5:8" x14ac:dyDescent="0.25">
      <c r="E14477" s="34"/>
      <c r="G14477" s="34"/>
      <c r="H14477" s="4"/>
    </row>
    <row r="14478" spans="5:8" x14ac:dyDescent="0.25">
      <c r="E14478" s="34"/>
      <c r="G14478" s="34"/>
      <c r="H14478" s="4"/>
    </row>
    <row r="14479" spans="5:8" x14ac:dyDescent="0.25">
      <c r="E14479" s="34"/>
      <c r="G14479" s="34"/>
      <c r="H14479" s="4"/>
    </row>
    <row r="14480" spans="5:8" x14ac:dyDescent="0.25">
      <c r="E14480" s="34"/>
      <c r="G14480" s="34"/>
      <c r="H14480" s="4"/>
    </row>
    <row r="14481" spans="5:8" x14ac:dyDescent="0.25">
      <c r="E14481" s="34"/>
      <c r="G14481" s="34"/>
      <c r="H14481" s="4"/>
    </row>
    <row r="14482" spans="5:8" x14ac:dyDescent="0.25">
      <c r="E14482" s="34"/>
      <c r="G14482" s="34"/>
      <c r="H14482" s="4"/>
    </row>
    <row r="14483" spans="5:8" x14ac:dyDescent="0.25">
      <c r="E14483" s="34"/>
      <c r="G14483" s="34"/>
      <c r="H14483" s="4"/>
    </row>
    <row r="14484" spans="5:8" x14ac:dyDescent="0.25">
      <c r="E14484" s="34"/>
      <c r="G14484" s="34"/>
      <c r="H14484" s="4"/>
    </row>
    <row r="14485" spans="5:8" x14ac:dyDescent="0.25">
      <c r="E14485" s="34"/>
      <c r="G14485" s="34"/>
      <c r="H14485" s="4"/>
    </row>
    <row r="14486" spans="5:8" x14ac:dyDescent="0.25">
      <c r="E14486" s="34"/>
      <c r="G14486" s="34"/>
      <c r="H14486" s="4"/>
    </row>
    <row r="14487" spans="5:8" x14ac:dyDescent="0.25">
      <c r="E14487" s="34"/>
      <c r="G14487" s="34"/>
      <c r="H14487" s="4"/>
    </row>
    <row r="14488" spans="5:8" x14ac:dyDescent="0.25">
      <c r="E14488" s="34"/>
      <c r="G14488" s="34"/>
      <c r="H14488" s="4"/>
    </row>
    <row r="14489" spans="5:8" x14ac:dyDescent="0.25">
      <c r="E14489" s="34"/>
      <c r="G14489" s="34"/>
      <c r="H14489" s="4"/>
    </row>
    <row r="14490" spans="5:8" x14ac:dyDescent="0.25">
      <c r="E14490" s="34"/>
      <c r="G14490" s="34"/>
      <c r="H14490" s="4"/>
    </row>
    <row r="14491" spans="5:8" x14ac:dyDescent="0.25">
      <c r="E14491" s="34"/>
      <c r="G14491" s="34"/>
      <c r="H14491" s="4"/>
    </row>
    <row r="14492" spans="5:8" x14ac:dyDescent="0.25">
      <c r="E14492" s="34"/>
      <c r="G14492" s="34"/>
      <c r="H14492" s="4"/>
    </row>
    <row r="14493" spans="5:8" x14ac:dyDescent="0.25">
      <c r="E14493" s="34"/>
      <c r="G14493" s="34"/>
      <c r="H14493" s="4"/>
    </row>
    <row r="14494" spans="5:8" x14ac:dyDescent="0.25">
      <c r="E14494" s="34"/>
      <c r="G14494" s="34"/>
      <c r="H14494" s="4"/>
    </row>
    <row r="14495" spans="5:8" x14ac:dyDescent="0.25">
      <c r="E14495" s="34"/>
      <c r="G14495" s="34"/>
      <c r="H14495" s="4"/>
    </row>
    <row r="14496" spans="5:8" x14ac:dyDescent="0.25">
      <c r="E14496" s="34"/>
      <c r="G14496" s="34"/>
      <c r="H14496" s="4"/>
    </row>
    <row r="14497" spans="5:8" x14ac:dyDescent="0.25">
      <c r="E14497" s="34"/>
      <c r="G14497" s="34"/>
      <c r="H14497" s="4"/>
    </row>
    <row r="14498" spans="5:8" x14ac:dyDescent="0.25">
      <c r="E14498" s="34"/>
      <c r="G14498" s="34"/>
      <c r="H14498" s="4"/>
    </row>
    <row r="14499" spans="5:8" x14ac:dyDescent="0.25">
      <c r="E14499" s="34"/>
      <c r="G14499" s="34"/>
      <c r="H14499" s="4"/>
    </row>
    <row r="14500" spans="5:8" x14ac:dyDescent="0.25">
      <c r="E14500" s="34"/>
      <c r="G14500" s="34"/>
      <c r="H14500" s="4"/>
    </row>
    <row r="14501" spans="5:8" x14ac:dyDescent="0.25">
      <c r="E14501" s="34"/>
      <c r="G14501" s="34"/>
      <c r="H14501" s="4"/>
    </row>
    <row r="14502" spans="5:8" x14ac:dyDescent="0.25">
      <c r="E14502" s="34"/>
      <c r="G14502" s="34"/>
      <c r="H14502" s="4"/>
    </row>
    <row r="14503" spans="5:8" x14ac:dyDescent="0.25">
      <c r="E14503" s="34"/>
      <c r="G14503" s="34"/>
      <c r="H14503" s="4"/>
    </row>
    <row r="14504" spans="5:8" x14ac:dyDescent="0.25">
      <c r="E14504" s="34"/>
      <c r="G14504" s="34"/>
      <c r="H14504" s="4"/>
    </row>
    <row r="14505" spans="5:8" x14ac:dyDescent="0.25">
      <c r="E14505" s="34"/>
      <c r="G14505" s="34"/>
      <c r="H14505" s="4"/>
    </row>
    <row r="14506" spans="5:8" x14ac:dyDescent="0.25">
      <c r="E14506" s="34"/>
      <c r="G14506" s="34"/>
      <c r="H14506" s="4"/>
    </row>
    <row r="14507" spans="5:8" x14ac:dyDescent="0.25">
      <c r="E14507" s="34"/>
      <c r="G14507" s="34"/>
      <c r="H14507" s="4"/>
    </row>
    <row r="14508" spans="5:8" x14ac:dyDescent="0.25">
      <c r="E14508" s="34"/>
      <c r="G14508" s="34"/>
      <c r="H14508" s="4"/>
    </row>
    <row r="14509" spans="5:8" x14ac:dyDescent="0.25">
      <c r="E14509" s="34"/>
      <c r="G14509" s="34"/>
      <c r="H14509" s="4"/>
    </row>
    <row r="14510" spans="5:8" x14ac:dyDescent="0.25">
      <c r="E14510" s="34"/>
      <c r="G14510" s="34"/>
      <c r="H14510" s="4"/>
    </row>
    <row r="14511" spans="5:8" x14ac:dyDescent="0.25">
      <c r="E14511" s="34"/>
      <c r="G14511" s="34"/>
      <c r="H14511" s="4"/>
    </row>
    <row r="14512" spans="5:8" x14ac:dyDescent="0.25">
      <c r="E14512" s="34"/>
      <c r="G14512" s="34"/>
      <c r="H14512" s="4"/>
    </row>
    <row r="14513" spans="5:8" x14ac:dyDescent="0.25">
      <c r="E14513" s="34"/>
      <c r="G14513" s="34"/>
      <c r="H14513" s="4"/>
    </row>
    <row r="14514" spans="5:8" x14ac:dyDescent="0.25">
      <c r="E14514" s="34"/>
      <c r="G14514" s="34"/>
      <c r="H14514" s="4"/>
    </row>
    <row r="14515" spans="5:8" x14ac:dyDescent="0.25">
      <c r="E14515" s="34"/>
      <c r="G14515" s="34"/>
      <c r="H14515" s="4"/>
    </row>
    <row r="14516" spans="5:8" x14ac:dyDescent="0.25">
      <c r="E14516" s="34"/>
      <c r="G14516" s="34"/>
      <c r="H14516" s="4"/>
    </row>
    <row r="14517" spans="5:8" x14ac:dyDescent="0.25">
      <c r="E14517" s="34"/>
      <c r="G14517" s="34"/>
      <c r="H14517" s="4"/>
    </row>
    <row r="14518" spans="5:8" x14ac:dyDescent="0.25">
      <c r="E14518" s="34"/>
      <c r="G14518" s="34"/>
      <c r="H14518" s="4"/>
    </row>
    <row r="14519" spans="5:8" x14ac:dyDescent="0.25">
      <c r="E14519" s="34"/>
      <c r="G14519" s="34"/>
      <c r="H14519" s="4"/>
    </row>
    <row r="14520" spans="5:8" x14ac:dyDescent="0.25">
      <c r="E14520" s="34"/>
      <c r="G14520" s="34"/>
      <c r="H14520" s="4"/>
    </row>
    <row r="14521" spans="5:8" x14ac:dyDescent="0.25">
      <c r="E14521" s="34"/>
      <c r="G14521" s="34"/>
      <c r="H14521" s="4"/>
    </row>
    <row r="14522" spans="5:8" x14ac:dyDescent="0.25">
      <c r="E14522" s="34"/>
      <c r="G14522" s="34"/>
      <c r="H14522" s="4"/>
    </row>
    <row r="14523" spans="5:8" x14ac:dyDescent="0.25">
      <c r="E14523" s="34"/>
      <c r="G14523" s="34"/>
      <c r="H14523" s="4"/>
    </row>
    <row r="14524" spans="5:8" x14ac:dyDescent="0.25">
      <c r="E14524" s="34"/>
      <c r="G14524" s="34"/>
      <c r="H14524" s="4"/>
    </row>
    <row r="14525" spans="5:8" x14ac:dyDescent="0.25">
      <c r="E14525" s="34"/>
      <c r="G14525" s="34"/>
      <c r="H14525" s="4"/>
    </row>
    <row r="14526" spans="5:8" x14ac:dyDescent="0.25">
      <c r="E14526" s="34"/>
      <c r="G14526" s="34"/>
      <c r="H14526" s="4"/>
    </row>
    <row r="14527" spans="5:8" x14ac:dyDescent="0.25">
      <c r="E14527" s="34"/>
      <c r="G14527" s="34"/>
      <c r="H14527" s="4"/>
    </row>
    <row r="14528" spans="5:8" x14ac:dyDescent="0.25">
      <c r="E14528" s="34"/>
      <c r="G14528" s="34"/>
      <c r="H14528" s="4"/>
    </row>
    <row r="14529" spans="5:8" x14ac:dyDescent="0.25">
      <c r="E14529" s="34"/>
      <c r="G14529" s="34"/>
      <c r="H14529" s="4"/>
    </row>
    <row r="14530" spans="5:8" x14ac:dyDescent="0.25">
      <c r="E14530" s="34"/>
      <c r="G14530" s="34"/>
      <c r="H14530" s="4"/>
    </row>
    <row r="14531" spans="5:8" x14ac:dyDescent="0.25">
      <c r="E14531" s="34"/>
      <c r="G14531" s="34"/>
      <c r="H14531" s="4"/>
    </row>
    <row r="14532" spans="5:8" x14ac:dyDescent="0.25">
      <c r="E14532" s="34"/>
      <c r="G14532" s="34"/>
      <c r="H14532" s="4"/>
    </row>
    <row r="14533" spans="5:8" x14ac:dyDescent="0.25">
      <c r="E14533" s="34"/>
      <c r="G14533" s="34"/>
      <c r="H14533" s="4"/>
    </row>
    <row r="14534" spans="5:8" x14ac:dyDescent="0.25">
      <c r="E14534" s="34"/>
      <c r="G14534" s="34"/>
      <c r="H14534" s="4"/>
    </row>
    <row r="14535" spans="5:8" x14ac:dyDescent="0.25">
      <c r="E14535" s="34"/>
      <c r="G14535" s="34"/>
      <c r="H14535" s="4"/>
    </row>
    <row r="14536" spans="5:8" x14ac:dyDescent="0.25">
      <c r="E14536" s="34"/>
      <c r="G14536" s="34"/>
      <c r="H14536" s="4"/>
    </row>
    <row r="14537" spans="5:8" x14ac:dyDescent="0.25">
      <c r="E14537" s="34"/>
      <c r="G14537" s="34"/>
      <c r="H14537" s="4"/>
    </row>
    <row r="14538" spans="5:8" x14ac:dyDescent="0.25">
      <c r="E14538" s="34"/>
      <c r="G14538" s="34"/>
      <c r="H14538" s="4"/>
    </row>
    <row r="14539" spans="5:8" x14ac:dyDescent="0.25">
      <c r="E14539" s="34"/>
      <c r="G14539" s="34"/>
      <c r="H14539" s="4"/>
    </row>
    <row r="14540" spans="5:8" x14ac:dyDescent="0.25">
      <c r="E14540" s="34"/>
      <c r="G14540" s="34"/>
      <c r="H14540" s="4"/>
    </row>
    <row r="14541" spans="5:8" x14ac:dyDescent="0.25">
      <c r="E14541" s="34"/>
      <c r="G14541" s="34"/>
      <c r="H14541" s="4"/>
    </row>
    <row r="14542" spans="5:8" x14ac:dyDescent="0.25">
      <c r="E14542" s="34"/>
      <c r="G14542" s="34"/>
      <c r="H14542" s="4"/>
    </row>
    <row r="14543" spans="5:8" x14ac:dyDescent="0.25">
      <c r="E14543" s="34"/>
      <c r="G14543" s="34"/>
      <c r="H14543" s="4"/>
    </row>
    <row r="14544" spans="5:8" x14ac:dyDescent="0.25">
      <c r="E14544" s="34"/>
      <c r="G14544" s="34"/>
      <c r="H14544" s="4"/>
    </row>
    <row r="14545" spans="5:8" x14ac:dyDescent="0.25">
      <c r="E14545" s="34"/>
      <c r="G14545" s="34"/>
      <c r="H14545" s="4"/>
    </row>
    <row r="14546" spans="5:8" x14ac:dyDescent="0.25">
      <c r="E14546" s="34"/>
      <c r="G14546" s="34"/>
      <c r="H14546" s="4"/>
    </row>
    <row r="14547" spans="5:8" x14ac:dyDescent="0.25">
      <c r="E14547" s="34"/>
      <c r="G14547" s="34"/>
      <c r="H14547" s="4"/>
    </row>
    <row r="14548" spans="5:8" x14ac:dyDescent="0.25">
      <c r="E14548" s="34"/>
      <c r="G14548" s="34"/>
      <c r="H14548" s="4"/>
    </row>
    <row r="14549" spans="5:8" x14ac:dyDescent="0.25">
      <c r="E14549" s="34"/>
      <c r="G14549" s="34"/>
      <c r="H14549" s="4"/>
    </row>
    <row r="14550" spans="5:8" x14ac:dyDescent="0.25">
      <c r="E14550" s="34"/>
      <c r="G14550" s="34"/>
      <c r="H14550" s="4"/>
    </row>
    <row r="14551" spans="5:8" x14ac:dyDescent="0.25">
      <c r="E14551" s="34"/>
      <c r="G14551" s="34"/>
      <c r="H14551" s="4"/>
    </row>
    <row r="14552" spans="5:8" x14ac:dyDescent="0.25">
      <c r="E14552" s="34"/>
      <c r="G14552" s="34"/>
      <c r="H14552" s="4"/>
    </row>
    <row r="14553" spans="5:8" x14ac:dyDescent="0.25">
      <c r="E14553" s="34"/>
      <c r="G14553" s="34"/>
      <c r="H14553" s="4"/>
    </row>
    <row r="14554" spans="5:8" x14ac:dyDescent="0.25">
      <c r="E14554" s="34"/>
      <c r="G14554" s="34"/>
      <c r="H14554" s="4"/>
    </row>
    <row r="14555" spans="5:8" x14ac:dyDescent="0.25">
      <c r="E14555" s="34"/>
      <c r="G14555" s="34"/>
      <c r="H14555" s="4"/>
    </row>
    <row r="14556" spans="5:8" x14ac:dyDescent="0.25">
      <c r="E14556" s="34"/>
      <c r="G14556" s="34"/>
      <c r="H14556" s="4"/>
    </row>
    <row r="14557" spans="5:8" x14ac:dyDescent="0.25">
      <c r="E14557" s="34"/>
      <c r="G14557" s="34"/>
      <c r="H14557" s="4"/>
    </row>
    <row r="14558" spans="5:8" x14ac:dyDescent="0.25">
      <c r="E14558" s="34"/>
      <c r="G14558" s="34"/>
      <c r="H14558" s="4"/>
    </row>
    <row r="14559" spans="5:8" x14ac:dyDescent="0.25">
      <c r="E14559" s="34"/>
      <c r="G14559" s="34"/>
      <c r="H14559" s="4"/>
    </row>
    <row r="14560" spans="5:8" x14ac:dyDescent="0.25">
      <c r="E14560" s="34"/>
      <c r="G14560" s="34"/>
      <c r="H14560" s="4"/>
    </row>
    <row r="14561" spans="5:8" x14ac:dyDescent="0.25">
      <c r="E14561" s="34"/>
      <c r="G14561" s="34"/>
      <c r="H14561" s="4"/>
    </row>
    <row r="14562" spans="5:8" x14ac:dyDescent="0.25">
      <c r="E14562" s="34"/>
      <c r="G14562" s="34"/>
      <c r="H14562" s="4"/>
    </row>
    <row r="14563" spans="5:8" x14ac:dyDescent="0.25">
      <c r="E14563" s="34"/>
      <c r="G14563" s="34"/>
      <c r="H14563" s="4"/>
    </row>
    <row r="14564" spans="5:8" x14ac:dyDescent="0.25">
      <c r="E14564" s="34"/>
      <c r="G14564" s="34"/>
      <c r="H14564" s="4"/>
    </row>
    <row r="14565" spans="5:8" x14ac:dyDescent="0.25">
      <c r="E14565" s="34"/>
      <c r="G14565" s="34"/>
      <c r="H14565" s="4"/>
    </row>
    <row r="14566" spans="5:8" x14ac:dyDescent="0.25">
      <c r="E14566" s="34"/>
      <c r="G14566" s="34"/>
      <c r="H14566" s="4"/>
    </row>
    <row r="14567" spans="5:8" x14ac:dyDescent="0.25">
      <c r="E14567" s="34"/>
      <c r="G14567" s="34"/>
      <c r="H14567" s="4"/>
    </row>
    <row r="14568" spans="5:8" x14ac:dyDescent="0.25">
      <c r="E14568" s="34"/>
      <c r="G14568" s="34"/>
      <c r="H14568" s="4"/>
    </row>
    <row r="14569" spans="5:8" x14ac:dyDescent="0.25">
      <c r="E14569" s="34"/>
      <c r="G14569" s="34"/>
      <c r="H14569" s="4"/>
    </row>
    <row r="14570" spans="5:8" x14ac:dyDescent="0.25">
      <c r="E14570" s="34"/>
      <c r="G14570" s="34"/>
      <c r="H14570" s="4"/>
    </row>
    <row r="14571" spans="5:8" x14ac:dyDescent="0.25">
      <c r="E14571" s="34"/>
      <c r="G14571" s="34"/>
      <c r="H14571" s="4"/>
    </row>
    <row r="14572" spans="5:8" x14ac:dyDescent="0.25">
      <c r="E14572" s="34"/>
      <c r="G14572" s="34"/>
      <c r="H14572" s="4"/>
    </row>
    <row r="14573" spans="5:8" x14ac:dyDescent="0.25">
      <c r="E14573" s="34"/>
      <c r="G14573" s="34"/>
      <c r="H14573" s="4"/>
    </row>
    <row r="14574" spans="5:8" x14ac:dyDescent="0.25">
      <c r="E14574" s="34"/>
      <c r="G14574" s="34"/>
      <c r="H14574" s="4"/>
    </row>
    <row r="14575" spans="5:8" x14ac:dyDescent="0.25">
      <c r="E14575" s="34"/>
      <c r="G14575" s="34"/>
      <c r="H14575" s="4"/>
    </row>
    <row r="14576" spans="5:8" x14ac:dyDescent="0.25">
      <c r="E14576" s="34"/>
      <c r="G14576" s="34"/>
      <c r="H14576" s="4"/>
    </row>
    <row r="14577" spans="5:8" x14ac:dyDescent="0.25">
      <c r="E14577" s="34"/>
      <c r="G14577" s="34"/>
      <c r="H14577" s="4"/>
    </row>
    <row r="14578" spans="5:8" x14ac:dyDescent="0.25">
      <c r="E14578" s="34"/>
      <c r="G14578" s="34"/>
      <c r="H14578" s="4"/>
    </row>
    <row r="14579" spans="5:8" x14ac:dyDescent="0.25">
      <c r="E14579" s="34"/>
      <c r="G14579" s="34"/>
      <c r="H14579" s="4"/>
    </row>
    <row r="14580" spans="5:8" x14ac:dyDescent="0.25">
      <c r="E14580" s="34"/>
      <c r="G14580" s="34"/>
      <c r="H14580" s="4"/>
    </row>
    <row r="14581" spans="5:8" x14ac:dyDescent="0.25">
      <c r="E14581" s="34"/>
      <c r="G14581" s="34"/>
      <c r="H14581" s="4"/>
    </row>
    <row r="14582" spans="5:8" x14ac:dyDescent="0.25">
      <c r="E14582" s="34"/>
      <c r="G14582" s="34"/>
      <c r="H14582" s="4"/>
    </row>
    <row r="14583" spans="5:8" x14ac:dyDescent="0.25">
      <c r="E14583" s="34"/>
      <c r="G14583" s="34"/>
      <c r="H14583" s="4"/>
    </row>
    <row r="14584" spans="5:8" x14ac:dyDescent="0.25">
      <c r="E14584" s="34"/>
      <c r="G14584" s="34"/>
      <c r="H14584" s="4"/>
    </row>
    <row r="14585" spans="5:8" x14ac:dyDescent="0.25">
      <c r="E14585" s="34"/>
      <c r="G14585" s="34"/>
      <c r="H14585" s="4"/>
    </row>
    <row r="14586" spans="5:8" x14ac:dyDescent="0.25">
      <c r="E14586" s="34"/>
      <c r="G14586" s="34"/>
      <c r="H14586" s="4"/>
    </row>
    <row r="14587" spans="5:8" x14ac:dyDescent="0.25">
      <c r="E14587" s="34"/>
      <c r="G14587" s="34"/>
      <c r="H14587" s="4"/>
    </row>
    <row r="14588" spans="5:8" x14ac:dyDescent="0.25">
      <c r="E14588" s="34"/>
      <c r="G14588" s="34"/>
      <c r="H14588" s="4"/>
    </row>
    <row r="14589" spans="5:8" x14ac:dyDescent="0.25">
      <c r="E14589" s="34"/>
      <c r="G14589" s="34"/>
      <c r="H14589" s="4"/>
    </row>
    <row r="14590" spans="5:8" x14ac:dyDescent="0.25">
      <c r="E14590" s="34"/>
      <c r="G14590" s="34"/>
      <c r="H14590" s="4"/>
    </row>
    <row r="14591" spans="5:8" x14ac:dyDescent="0.25">
      <c r="E14591" s="34"/>
      <c r="G14591" s="34"/>
      <c r="H14591" s="4"/>
    </row>
    <row r="14592" spans="5:8" x14ac:dyDescent="0.25">
      <c r="E14592" s="34"/>
      <c r="G14592" s="34"/>
      <c r="H14592" s="4"/>
    </row>
    <row r="14593" spans="5:8" x14ac:dyDescent="0.25">
      <c r="E14593" s="34"/>
      <c r="G14593" s="34"/>
      <c r="H14593" s="4"/>
    </row>
    <row r="14594" spans="5:8" x14ac:dyDescent="0.25">
      <c r="E14594" s="34"/>
      <c r="G14594" s="34"/>
      <c r="H14594" s="4"/>
    </row>
    <row r="14595" spans="5:8" x14ac:dyDescent="0.25">
      <c r="E14595" s="34"/>
      <c r="G14595" s="34"/>
      <c r="H14595" s="4"/>
    </row>
    <row r="14596" spans="5:8" x14ac:dyDescent="0.25">
      <c r="E14596" s="34"/>
      <c r="G14596" s="34"/>
      <c r="H14596" s="4"/>
    </row>
    <row r="14597" spans="5:8" x14ac:dyDescent="0.25">
      <c r="E14597" s="34"/>
      <c r="G14597" s="34"/>
      <c r="H14597" s="4"/>
    </row>
    <row r="14598" spans="5:8" x14ac:dyDescent="0.25">
      <c r="E14598" s="34"/>
      <c r="G14598" s="34"/>
      <c r="H14598" s="4"/>
    </row>
    <row r="14599" spans="5:8" x14ac:dyDescent="0.25">
      <c r="E14599" s="34"/>
      <c r="G14599" s="34"/>
      <c r="H14599" s="4"/>
    </row>
    <row r="14600" spans="5:8" x14ac:dyDescent="0.25">
      <c r="E14600" s="34"/>
      <c r="G14600" s="34"/>
      <c r="H14600" s="4"/>
    </row>
    <row r="14601" spans="5:8" x14ac:dyDescent="0.25">
      <c r="E14601" s="34"/>
      <c r="G14601" s="34"/>
      <c r="H14601" s="4"/>
    </row>
    <row r="14602" spans="5:8" x14ac:dyDescent="0.25">
      <c r="E14602" s="34"/>
      <c r="G14602" s="34"/>
      <c r="H14602" s="4"/>
    </row>
    <row r="14603" spans="5:8" x14ac:dyDescent="0.25">
      <c r="E14603" s="34"/>
      <c r="G14603" s="34"/>
      <c r="H14603" s="4"/>
    </row>
    <row r="14604" spans="5:8" x14ac:dyDescent="0.25">
      <c r="E14604" s="34"/>
      <c r="G14604" s="34"/>
      <c r="H14604" s="4"/>
    </row>
    <row r="14605" spans="5:8" x14ac:dyDescent="0.25">
      <c r="E14605" s="34"/>
      <c r="G14605" s="34"/>
      <c r="H14605" s="4"/>
    </row>
    <row r="14606" spans="5:8" x14ac:dyDescent="0.25">
      <c r="E14606" s="34"/>
      <c r="G14606" s="34"/>
      <c r="H14606" s="4"/>
    </row>
    <row r="14607" spans="5:8" x14ac:dyDescent="0.25">
      <c r="E14607" s="34"/>
      <c r="G14607" s="34"/>
      <c r="H14607" s="4"/>
    </row>
    <row r="14608" spans="5:8" x14ac:dyDescent="0.25">
      <c r="E14608" s="34"/>
      <c r="G14608" s="34"/>
      <c r="H14608" s="4"/>
    </row>
    <row r="14609" spans="5:8" x14ac:dyDescent="0.25">
      <c r="E14609" s="34"/>
      <c r="G14609" s="34"/>
      <c r="H14609" s="4"/>
    </row>
    <row r="14610" spans="5:8" x14ac:dyDescent="0.25">
      <c r="E14610" s="34"/>
      <c r="G14610" s="34"/>
      <c r="H14610" s="4"/>
    </row>
    <row r="14611" spans="5:8" x14ac:dyDescent="0.25">
      <c r="E14611" s="34"/>
      <c r="G14611" s="34"/>
      <c r="H14611" s="4"/>
    </row>
    <row r="14612" spans="5:8" x14ac:dyDescent="0.25">
      <c r="E14612" s="34"/>
      <c r="G14612" s="34"/>
      <c r="H14612" s="4"/>
    </row>
    <row r="14613" spans="5:8" x14ac:dyDescent="0.25">
      <c r="E14613" s="34"/>
      <c r="G14613" s="34"/>
      <c r="H14613" s="4"/>
    </row>
    <row r="14614" spans="5:8" x14ac:dyDescent="0.25">
      <c r="E14614" s="34"/>
      <c r="G14614" s="34"/>
      <c r="H14614" s="4"/>
    </row>
    <row r="14615" spans="5:8" x14ac:dyDescent="0.25">
      <c r="E14615" s="34"/>
      <c r="G14615" s="34"/>
      <c r="H14615" s="4"/>
    </row>
    <row r="14616" spans="5:8" x14ac:dyDescent="0.25">
      <c r="E14616" s="34"/>
      <c r="G14616" s="34"/>
      <c r="H14616" s="4"/>
    </row>
    <row r="14617" spans="5:8" x14ac:dyDescent="0.25">
      <c r="E14617" s="34"/>
      <c r="G14617" s="34"/>
      <c r="H14617" s="4"/>
    </row>
    <row r="14618" spans="5:8" x14ac:dyDescent="0.25">
      <c r="E14618" s="34"/>
      <c r="G14618" s="34"/>
      <c r="H14618" s="4"/>
    </row>
    <row r="14619" spans="5:8" x14ac:dyDescent="0.25">
      <c r="E14619" s="34"/>
      <c r="G14619" s="34"/>
      <c r="H14619" s="4"/>
    </row>
    <row r="14620" spans="5:8" x14ac:dyDescent="0.25">
      <c r="E14620" s="34"/>
      <c r="G14620" s="34"/>
      <c r="H14620" s="4"/>
    </row>
    <row r="14621" spans="5:8" x14ac:dyDescent="0.25">
      <c r="E14621" s="34"/>
      <c r="G14621" s="34"/>
      <c r="H14621" s="4"/>
    </row>
    <row r="14622" spans="5:8" x14ac:dyDescent="0.25">
      <c r="E14622" s="34"/>
      <c r="G14622" s="34"/>
      <c r="H14622" s="4"/>
    </row>
    <row r="14623" spans="5:8" x14ac:dyDescent="0.25">
      <c r="E14623" s="34"/>
      <c r="G14623" s="34"/>
      <c r="H14623" s="4"/>
    </row>
    <row r="14624" spans="5:8" x14ac:dyDescent="0.25">
      <c r="E14624" s="34"/>
      <c r="G14624" s="34"/>
      <c r="H14624" s="4"/>
    </row>
    <row r="14625" spans="5:8" x14ac:dyDescent="0.25">
      <c r="E14625" s="34"/>
      <c r="G14625" s="34"/>
      <c r="H14625" s="4"/>
    </row>
    <row r="14626" spans="5:8" x14ac:dyDescent="0.25">
      <c r="E14626" s="34"/>
      <c r="G14626" s="34"/>
      <c r="H14626" s="4"/>
    </row>
    <row r="14627" spans="5:8" x14ac:dyDescent="0.25">
      <c r="E14627" s="34"/>
      <c r="G14627" s="34"/>
      <c r="H14627" s="4"/>
    </row>
    <row r="14628" spans="5:8" x14ac:dyDescent="0.25">
      <c r="E14628" s="34"/>
      <c r="G14628" s="34"/>
      <c r="H14628" s="4"/>
    </row>
    <row r="14629" spans="5:8" x14ac:dyDescent="0.25">
      <c r="E14629" s="34"/>
      <c r="G14629" s="34"/>
      <c r="H14629" s="4"/>
    </row>
    <row r="14630" spans="5:8" x14ac:dyDescent="0.25">
      <c r="E14630" s="34"/>
      <c r="G14630" s="34"/>
      <c r="H14630" s="4"/>
    </row>
    <row r="14631" spans="5:8" x14ac:dyDescent="0.25">
      <c r="E14631" s="34"/>
      <c r="G14631" s="34"/>
      <c r="H14631" s="4"/>
    </row>
    <row r="14632" spans="5:8" x14ac:dyDescent="0.25">
      <c r="E14632" s="34"/>
      <c r="G14632" s="34"/>
      <c r="H14632" s="4"/>
    </row>
    <row r="14633" spans="5:8" x14ac:dyDescent="0.25">
      <c r="E14633" s="34"/>
      <c r="G14633" s="34"/>
      <c r="H14633" s="4"/>
    </row>
    <row r="14634" spans="5:8" x14ac:dyDescent="0.25">
      <c r="E14634" s="34"/>
      <c r="G14634" s="34"/>
      <c r="H14634" s="4"/>
    </row>
    <row r="14635" spans="5:8" x14ac:dyDescent="0.25">
      <c r="E14635" s="34"/>
      <c r="G14635" s="34"/>
      <c r="H14635" s="4"/>
    </row>
    <row r="14636" spans="5:8" x14ac:dyDescent="0.25">
      <c r="E14636" s="34"/>
      <c r="G14636" s="34"/>
      <c r="H14636" s="4"/>
    </row>
    <row r="14637" spans="5:8" x14ac:dyDescent="0.25">
      <c r="E14637" s="34"/>
      <c r="G14637" s="34"/>
      <c r="H14637" s="4"/>
    </row>
    <row r="14638" spans="5:8" x14ac:dyDescent="0.25">
      <c r="E14638" s="34"/>
      <c r="G14638" s="34"/>
      <c r="H14638" s="4"/>
    </row>
    <row r="14639" spans="5:8" x14ac:dyDescent="0.25">
      <c r="E14639" s="34"/>
      <c r="G14639" s="34"/>
      <c r="H14639" s="4"/>
    </row>
    <row r="14640" spans="5:8" x14ac:dyDescent="0.25">
      <c r="E14640" s="34"/>
      <c r="G14640" s="34"/>
      <c r="H14640" s="4"/>
    </row>
    <row r="14641" spans="5:8" x14ac:dyDescent="0.25">
      <c r="E14641" s="34"/>
      <c r="G14641" s="34"/>
      <c r="H14641" s="4"/>
    </row>
    <row r="14642" spans="5:8" x14ac:dyDescent="0.25">
      <c r="E14642" s="34"/>
      <c r="G14642" s="34"/>
      <c r="H14642" s="4"/>
    </row>
    <row r="14643" spans="5:8" x14ac:dyDescent="0.25">
      <c r="E14643" s="34"/>
      <c r="G14643" s="34"/>
      <c r="H14643" s="4"/>
    </row>
    <row r="14644" spans="5:8" x14ac:dyDescent="0.25">
      <c r="E14644" s="34"/>
      <c r="G14644" s="34"/>
      <c r="H14644" s="4"/>
    </row>
    <row r="14645" spans="5:8" x14ac:dyDescent="0.25">
      <c r="E14645" s="34"/>
      <c r="G14645" s="34"/>
      <c r="H14645" s="4"/>
    </row>
    <row r="14646" spans="5:8" x14ac:dyDescent="0.25">
      <c r="E14646" s="34"/>
      <c r="G14646" s="34"/>
      <c r="H14646" s="4"/>
    </row>
    <row r="14647" spans="5:8" x14ac:dyDescent="0.25">
      <c r="E14647" s="34"/>
      <c r="G14647" s="34"/>
      <c r="H14647" s="4"/>
    </row>
    <row r="14648" spans="5:8" x14ac:dyDescent="0.25">
      <c r="E14648" s="34"/>
      <c r="G14648" s="34"/>
      <c r="H14648" s="4"/>
    </row>
    <row r="14649" spans="5:8" x14ac:dyDescent="0.25">
      <c r="E14649" s="34"/>
      <c r="G14649" s="34"/>
      <c r="H14649" s="4"/>
    </row>
    <row r="14650" spans="5:8" x14ac:dyDescent="0.25">
      <c r="E14650" s="34"/>
      <c r="G14650" s="34"/>
      <c r="H14650" s="4"/>
    </row>
    <row r="14651" spans="5:8" x14ac:dyDescent="0.25">
      <c r="E14651" s="34"/>
      <c r="G14651" s="34"/>
      <c r="H14651" s="4"/>
    </row>
    <row r="14652" spans="5:8" x14ac:dyDescent="0.25">
      <c r="E14652" s="34"/>
      <c r="G14652" s="34"/>
      <c r="H14652" s="4"/>
    </row>
    <row r="14653" spans="5:8" x14ac:dyDescent="0.25">
      <c r="E14653" s="34"/>
      <c r="G14653" s="34"/>
      <c r="H14653" s="4"/>
    </row>
    <row r="14654" spans="5:8" x14ac:dyDescent="0.25">
      <c r="E14654" s="34"/>
      <c r="G14654" s="34"/>
      <c r="H14654" s="4"/>
    </row>
    <row r="14655" spans="5:8" x14ac:dyDescent="0.25">
      <c r="E14655" s="34"/>
      <c r="G14655" s="34"/>
      <c r="H14655" s="4"/>
    </row>
    <row r="14656" spans="5:8" x14ac:dyDescent="0.25">
      <c r="E14656" s="34"/>
      <c r="G14656" s="34"/>
      <c r="H14656" s="4"/>
    </row>
    <row r="14657" spans="5:8" x14ac:dyDescent="0.25">
      <c r="E14657" s="34"/>
      <c r="G14657" s="34"/>
      <c r="H14657" s="4"/>
    </row>
    <row r="14658" spans="5:8" x14ac:dyDescent="0.25">
      <c r="E14658" s="34"/>
      <c r="G14658" s="34"/>
      <c r="H14658" s="4"/>
    </row>
    <row r="14659" spans="5:8" x14ac:dyDescent="0.25">
      <c r="E14659" s="34"/>
      <c r="G14659" s="34"/>
      <c r="H14659" s="4"/>
    </row>
    <row r="14660" spans="5:8" x14ac:dyDescent="0.25">
      <c r="E14660" s="34"/>
      <c r="G14660" s="34"/>
      <c r="H14660" s="4"/>
    </row>
    <row r="14661" spans="5:8" x14ac:dyDescent="0.25">
      <c r="E14661" s="34"/>
      <c r="G14661" s="34"/>
      <c r="H14661" s="4"/>
    </row>
    <row r="14662" spans="5:8" x14ac:dyDescent="0.25">
      <c r="E14662" s="34"/>
      <c r="G14662" s="34"/>
      <c r="H14662" s="4"/>
    </row>
    <row r="14663" spans="5:8" x14ac:dyDescent="0.25">
      <c r="E14663" s="34"/>
      <c r="G14663" s="34"/>
      <c r="H14663" s="4"/>
    </row>
    <row r="14664" spans="5:8" x14ac:dyDescent="0.25">
      <c r="E14664" s="34"/>
      <c r="G14664" s="34"/>
      <c r="H14664" s="4"/>
    </row>
    <row r="14665" spans="5:8" x14ac:dyDescent="0.25">
      <c r="E14665" s="34"/>
      <c r="G14665" s="34"/>
      <c r="H14665" s="4"/>
    </row>
    <row r="14666" spans="5:8" x14ac:dyDescent="0.25">
      <c r="E14666" s="34"/>
      <c r="G14666" s="34"/>
      <c r="H14666" s="4"/>
    </row>
    <row r="14667" spans="5:8" x14ac:dyDescent="0.25">
      <c r="E14667" s="34"/>
      <c r="G14667" s="34"/>
      <c r="H14667" s="4"/>
    </row>
    <row r="14668" spans="5:8" x14ac:dyDescent="0.25">
      <c r="E14668" s="34"/>
      <c r="G14668" s="34"/>
      <c r="H14668" s="4"/>
    </row>
    <row r="14669" spans="5:8" x14ac:dyDescent="0.25">
      <c r="E14669" s="34"/>
      <c r="G14669" s="34"/>
      <c r="H14669" s="4"/>
    </row>
    <row r="14670" spans="5:8" x14ac:dyDescent="0.25">
      <c r="E14670" s="34"/>
      <c r="G14670" s="34"/>
      <c r="H14670" s="4"/>
    </row>
    <row r="14671" spans="5:8" x14ac:dyDescent="0.25">
      <c r="E14671" s="34"/>
      <c r="G14671" s="34"/>
      <c r="H14671" s="4"/>
    </row>
    <row r="14672" spans="5:8" x14ac:dyDescent="0.25">
      <c r="E14672" s="34"/>
      <c r="G14672" s="34"/>
      <c r="H14672" s="4"/>
    </row>
    <row r="14673" spans="5:8" x14ac:dyDescent="0.25">
      <c r="E14673" s="34"/>
      <c r="G14673" s="34"/>
      <c r="H14673" s="4"/>
    </row>
    <row r="14674" spans="5:8" x14ac:dyDescent="0.25">
      <c r="E14674" s="34"/>
      <c r="G14674" s="34"/>
      <c r="H14674" s="4"/>
    </row>
    <row r="14675" spans="5:8" x14ac:dyDescent="0.25">
      <c r="E14675" s="34"/>
      <c r="G14675" s="34"/>
      <c r="H14675" s="4"/>
    </row>
    <row r="14676" spans="5:8" x14ac:dyDescent="0.25">
      <c r="E14676" s="34"/>
      <c r="G14676" s="34"/>
      <c r="H14676" s="4"/>
    </row>
    <row r="14677" spans="5:8" x14ac:dyDescent="0.25">
      <c r="E14677" s="34"/>
      <c r="G14677" s="34"/>
      <c r="H14677" s="4"/>
    </row>
    <row r="14678" spans="5:8" x14ac:dyDescent="0.25">
      <c r="E14678" s="34"/>
      <c r="G14678" s="34"/>
      <c r="H14678" s="4"/>
    </row>
    <row r="14679" spans="5:8" x14ac:dyDescent="0.25">
      <c r="E14679" s="34"/>
      <c r="G14679" s="34"/>
      <c r="H14679" s="4"/>
    </row>
    <row r="14680" spans="5:8" x14ac:dyDescent="0.25">
      <c r="E14680" s="34"/>
      <c r="G14680" s="34"/>
      <c r="H14680" s="4"/>
    </row>
    <row r="14681" spans="5:8" x14ac:dyDescent="0.25">
      <c r="E14681" s="34"/>
      <c r="G14681" s="34"/>
      <c r="H14681" s="4"/>
    </row>
    <row r="14682" spans="5:8" x14ac:dyDescent="0.25">
      <c r="E14682" s="34"/>
      <c r="G14682" s="34"/>
      <c r="H14682" s="4"/>
    </row>
    <row r="14683" spans="5:8" x14ac:dyDescent="0.25">
      <c r="E14683" s="34"/>
      <c r="G14683" s="34"/>
      <c r="H14683" s="4"/>
    </row>
    <row r="14684" spans="5:8" x14ac:dyDescent="0.25">
      <c r="E14684" s="34"/>
      <c r="G14684" s="34"/>
      <c r="H14684" s="4"/>
    </row>
    <row r="14685" spans="5:8" x14ac:dyDescent="0.25">
      <c r="E14685" s="34"/>
      <c r="G14685" s="34"/>
      <c r="H14685" s="4"/>
    </row>
    <row r="14686" spans="5:8" x14ac:dyDescent="0.25">
      <c r="E14686" s="34"/>
      <c r="G14686" s="34"/>
      <c r="H14686" s="4"/>
    </row>
    <row r="14687" spans="5:8" x14ac:dyDescent="0.25">
      <c r="E14687" s="34"/>
      <c r="G14687" s="34"/>
      <c r="H14687" s="4"/>
    </row>
    <row r="14688" spans="5:8" x14ac:dyDescent="0.25">
      <c r="E14688" s="34"/>
      <c r="G14688" s="34"/>
      <c r="H14688" s="4"/>
    </row>
    <row r="14689" spans="5:8" x14ac:dyDescent="0.25">
      <c r="E14689" s="34"/>
      <c r="G14689" s="34"/>
      <c r="H14689" s="4"/>
    </row>
    <row r="14690" spans="5:8" x14ac:dyDescent="0.25">
      <c r="E14690" s="34"/>
      <c r="G14690" s="34"/>
      <c r="H14690" s="4"/>
    </row>
    <row r="14691" spans="5:8" x14ac:dyDescent="0.25">
      <c r="E14691" s="34"/>
      <c r="G14691" s="34"/>
      <c r="H14691" s="4"/>
    </row>
    <row r="14692" spans="5:8" x14ac:dyDescent="0.25">
      <c r="E14692" s="34"/>
      <c r="G14692" s="34"/>
      <c r="H14692" s="4"/>
    </row>
    <row r="14693" spans="5:8" x14ac:dyDescent="0.25">
      <c r="E14693" s="34"/>
      <c r="G14693" s="34"/>
      <c r="H14693" s="4"/>
    </row>
    <row r="14694" spans="5:8" x14ac:dyDescent="0.25">
      <c r="E14694" s="34"/>
      <c r="G14694" s="34"/>
      <c r="H14694" s="4"/>
    </row>
    <row r="14695" spans="5:8" x14ac:dyDescent="0.25">
      <c r="E14695" s="34"/>
      <c r="G14695" s="34"/>
      <c r="H14695" s="4"/>
    </row>
    <row r="14696" spans="5:8" x14ac:dyDescent="0.25">
      <c r="E14696" s="34"/>
      <c r="G14696" s="34"/>
      <c r="H14696" s="4"/>
    </row>
    <row r="14697" spans="5:8" x14ac:dyDescent="0.25">
      <c r="E14697" s="34"/>
      <c r="G14697" s="34"/>
      <c r="H14697" s="4"/>
    </row>
    <row r="14698" spans="5:8" x14ac:dyDescent="0.25">
      <c r="E14698" s="34"/>
      <c r="G14698" s="34"/>
      <c r="H14698" s="4"/>
    </row>
    <row r="14699" spans="5:8" x14ac:dyDescent="0.25">
      <c r="E14699" s="34"/>
      <c r="G14699" s="34"/>
      <c r="H14699" s="4"/>
    </row>
    <row r="14700" spans="5:8" x14ac:dyDescent="0.25">
      <c r="E14700" s="34"/>
      <c r="G14700" s="34"/>
      <c r="H14700" s="4"/>
    </row>
    <row r="14701" spans="5:8" x14ac:dyDescent="0.25">
      <c r="E14701" s="34"/>
      <c r="G14701" s="34"/>
      <c r="H14701" s="4"/>
    </row>
    <row r="14702" spans="5:8" x14ac:dyDescent="0.25">
      <c r="E14702" s="34"/>
      <c r="G14702" s="34"/>
      <c r="H14702" s="4"/>
    </row>
    <row r="14703" spans="5:8" x14ac:dyDescent="0.25">
      <c r="E14703" s="34"/>
      <c r="G14703" s="34"/>
      <c r="H14703" s="4"/>
    </row>
    <row r="14704" spans="5:8" x14ac:dyDescent="0.25">
      <c r="E14704" s="34"/>
      <c r="G14704" s="34"/>
      <c r="H14704" s="4"/>
    </row>
    <row r="14705" spans="5:8" x14ac:dyDescent="0.25">
      <c r="E14705" s="34"/>
      <c r="G14705" s="34"/>
      <c r="H14705" s="4"/>
    </row>
    <row r="14706" spans="5:8" x14ac:dyDescent="0.25">
      <c r="E14706" s="34"/>
      <c r="G14706" s="34"/>
      <c r="H14706" s="4"/>
    </row>
    <row r="14707" spans="5:8" x14ac:dyDescent="0.25">
      <c r="E14707" s="34"/>
      <c r="G14707" s="34"/>
      <c r="H14707" s="4"/>
    </row>
    <row r="14708" spans="5:8" x14ac:dyDescent="0.25">
      <c r="E14708" s="34"/>
      <c r="G14708" s="34"/>
      <c r="H14708" s="4"/>
    </row>
    <row r="14709" spans="5:8" x14ac:dyDescent="0.25">
      <c r="E14709" s="34"/>
      <c r="G14709" s="34"/>
      <c r="H14709" s="4"/>
    </row>
    <row r="14710" spans="5:8" x14ac:dyDescent="0.25">
      <c r="E14710" s="34"/>
      <c r="G14710" s="34"/>
      <c r="H14710" s="4"/>
    </row>
    <row r="14711" spans="5:8" x14ac:dyDescent="0.25">
      <c r="E14711" s="34"/>
      <c r="G14711" s="34"/>
      <c r="H14711" s="4"/>
    </row>
    <row r="14712" spans="5:8" x14ac:dyDescent="0.25">
      <c r="E14712" s="34"/>
      <c r="G14712" s="34"/>
      <c r="H14712" s="4"/>
    </row>
    <row r="14713" spans="5:8" x14ac:dyDescent="0.25">
      <c r="E14713" s="34"/>
      <c r="G14713" s="34"/>
      <c r="H14713" s="4"/>
    </row>
    <row r="14714" spans="5:8" x14ac:dyDescent="0.25">
      <c r="E14714" s="34"/>
      <c r="G14714" s="34"/>
      <c r="H14714" s="4"/>
    </row>
    <row r="14715" spans="5:8" x14ac:dyDescent="0.25">
      <c r="E14715" s="34"/>
      <c r="G14715" s="34"/>
      <c r="H14715" s="4"/>
    </row>
    <row r="14716" spans="5:8" x14ac:dyDescent="0.25">
      <c r="E14716" s="34"/>
      <c r="G14716" s="34"/>
      <c r="H14716" s="4"/>
    </row>
    <row r="14717" spans="5:8" x14ac:dyDescent="0.25">
      <c r="E14717" s="34"/>
      <c r="G14717" s="34"/>
      <c r="H14717" s="4"/>
    </row>
    <row r="14718" spans="5:8" x14ac:dyDescent="0.25">
      <c r="E14718" s="34"/>
      <c r="G14718" s="34"/>
      <c r="H14718" s="4"/>
    </row>
    <row r="14719" spans="5:8" x14ac:dyDescent="0.25">
      <c r="E14719" s="34"/>
      <c r="G14719" s="34"/>
      <c r="H14719" s="4"/>
    </row>
    <row r="14720" spans="5:8" x14ac:dyDescent="0.25">
      <c r="E14720" s="34"/>
      <c r="G14720" s="34"/>
      <c r="H14720" s="4"/>
    </row>
    <row r="14721" spans="5:8" x14ac:dyDescent="0.25">
      <c r="E14721" s="34"/>
      <c r="G14721" s="34"/>
      <c r="H14721" s="4"/>
    </row>
    <row r="14722" spans="5:8" x14ac:dyDescent="0.25">
      <c r="E14722" s="34"/>
      <c r="G14722" s="34"/>
      <c r="H14722" s="4"/>
    </row>
    <row r="14723" spans="5:8" x14ac:dyDescent="0.25">
      <c r="E14723" s="34"/>
      <c r="G14723" s="34"/>
      <c r="H14723" s="4"/>
    </row>
    <row r="14724" spans="5:8" x14ac:dyDescent="0.25">
      <c r="E14724" s="34"/>
      <c r="G14724" s="34"/>
      <c r="H14724" s="4"/>
    </row>
    <row r="14725" spans="5:8" x14ac:dyDescent="0.25">
      <c r="E14725" s="34"/>
      <c r="G14725" s="34"/>
      <c r="H14725" s="4"/>
    </row>
    <row r="14726" spans="5:8" x14ac:dyDescent="0.25">
      <c r="E14726" s="34"/>
      <c r="G14726" s="34"/>
      <c r="H14726" s="4"/>
    </row>
    <row r="14727" spans="5:8" x14ac:dyDescent="0.25">
      <c r="E14727" s="34"/>
      <c r="G14727" s="34"/>
      <c r="H14727" s="4"/>
    </row>
    <row r="14728" spans="5:8" x14ac:dyDescent="0.25">
      <c r="E14728" s="34"/>
      <c r="G14728" s="34"/>
      <c r="H14728" s="4"/>
    </row>
    <row r="14729" spans="5:8" x14ac:dyDescent="0.25">
      <c r="E14729" s="34"/>
      <c r="G14729" s="34"/>
      <c r="H14729" s="4"/>
    </row>
    <row r="14730" spans="5:8" x14ac:dyDescent="0.25">
      <c r="E14730" s="34"/>
      <c r="G14730" s="34"/>
      <c r="H14730" s="4"/>
    </row>
    <row r="14731" spans="5:8" x14ac:dyDescent="0.25">
      <c r="E14731" s="34"/>
      <c r="G14731" s="34"/>
      <c r="H14731" s="4"/>
    </row>
    <row r="14732" spans="5:8" x14ac:dyDescent="0.25">
      <c r="E14732" s="34"/>
      <c r="G14732" s="34"/>
      <c r="H14732" s="4"/>
    </row>
    <row r="14733" spans="5:8" x14ac:dyDescent="0.25">
      <c r="E14733" s="34"/>
      <c r="G14733" s="34"/>
      <c r="H14733" s="4"/>
    </row>
    <row r="14734" spans="5:8" x14ac:dyDescent="0.25">
      <c r="E14734" s="34"/>
      <c r="G14734" s="34"/>
      <c r="H14734" s="4"/>
    </row>
    <row r="14735" spans="5:8" x14ac:dyDescent="0.25">
      <c r="E14735" s="34"/>
      <c r="G14735" s="34"/>
      <c r="H14735" s="4"/>
    </row>
    <row r="14736" spans="5:8" x14ac:dyDescent="0.25">
      <c r="E14736" s="34"/>
      <c r="G14736" s="34"/>
      <c r="H14736" s="4"/>
    </row>
    <row r="14737" spans="5:8" x14ac:dyDescent="0.25">
      <c r="E14737" s="34"/>
      <c r="G14737" s="34"/>
      <c r="H14737" s="4"/>
    </row>
  </sheetData>
  <mergeCells count="7">
    <mergeCell ref="X1:Y1"/>
    <mergeCell ref="N15:P15"/>
    <mergeCell ref="U9:V9"/>
    <mergeCell ref="U1:V1"/>
    <mergeCell ref="N1:P1"/>
    <mergeCell ref="N6:P6"/>
    <mergeCell ref="N11:P11"/>
  </mergeCells>
  <conditionalFormatting sqref="F10037:F1473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{CD64B415-925E-49AE-9A37-6EEB8C6A0BDD}</x14:id>
        </ext>
      </extLst>
    </cfRule>
    <cfRule type="top10" dxfId="0" priority="4" stopIfTrue="1" rank="1"/>
  </conditionalFormatting>
  <dataValidations count="3">
    <dataValidation type="list" allowBlank="1" showInputMessage="1" showErrorMessage="1" sqref="R1 Y2">
      <formula1>$P$21:$P$22</formula1>
    </dataValidation>
    <dataValidation type="list" allowBlank="1" showInputMessage="1" showErrorMessage="1" sqref="V6">
      <formula1>$AB$1:$AB$4</formula1>
    </dataValidation>
    <dataValidation type="list" showInputMessage="1" showErrorMessage="1" sqref="Q16 V15">
      <formula1>$P$21:$P$22</formula1>
    </dataValidation>
  </dataValidations>
  <pageMargins left="0.98425196850393704" right="1.9685039370078741" top="0.98425196850393704" bottom="0.98425196850393704" header="0.51181102362204722" footer="0.51181102362204722"/>
  <pageSetup scale="1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_folder_beckman">
                <anchor moveWithCells="1" sizeWithCells="1">
                  <from>
                    <xdr:col>13</xdr:col>
                    <xdr:colOff>9525</xdr:colOff>
                    <xdr:row>7</xdr:row>
                    <xdr:rowOff>19050</xdr:rowOff>
                  </from>
                  <to>
                    <xdr:col>14</xdr:col>
                    <xdr:colOff>285750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sheet">
                <anchor moveWithCells="1" sizeWithCells="1">
                  <from>
                    <xdr:col>13</xdr:col>
                    <xdr:colOff>9525</xdr:colOff>
                    <xdr:row>11</xdr:row>
                    <xdr:rowOff>19050</xdr:rowOff>
                  </from>
                  <to>
                    <xdr:col>16</xdr:col>
                    <xdr:colOff>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export_folder">
                <anchor moveWithCells="1" sizeWithCells="1">
                  <from>
                    <xdr:col>13</xdr:col>
                    <xdr:colOff>9525</xdr:colOff>
                    <xdr:row>16</xdr:row>
                    <xdr:rowOff>19050</xdr:rowOff>
                  </from>
                  <to>
                    <xdr:col>16</xdr:col>
                    <xdr:colOff>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1]!reset_all">
                <anchor moveWithCells="1" sizeWithCells="1">
                  <from>
                    <xdr:col>13</xdr:col>
                    <xdr:colOff>9525</xdr:colOff>
                    <xdr:row>24</xdr:row>
                    <xdr:rowOff>9525</xdr:rowOff>
                  </from>
                  <to>
                    <xdr:col>14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ck">
                <anchor moveWithCells="1" sizeWithCells="1">
                  <from>
                    <xdr:col>14</xdr:col>
                    <xdr:colOff>752475</xdr:colOff>
                    <xdr:row>4</xdr:row>
                    <xdr:rowOff>9525</xdr:rowOff>
                  </from>
                  <to>
                    <xdr:col>15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import_folder_mce">
                <anchor moveWithCells="1" sizeWithCells="1">
                  <from>
                    <xdr:col>14</xdr:col>
                    <xdr:colOff>304800</xdr:colOff>
                    <xdr:row>7</xdr:row>
                    <xdr:rowOff>19050</xdr:rowOff>
                  </from>
                  <to>
                    <xdr:col>16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64B415-925E-49AE-9A37-6EEB8C6A0BDD}">
            <x14:dataBar minLength="0" maxLength="100" negativeBarColorSameAsPositive="1" axisPosition="none">
              <x14:cfvo type="min"/>
              <x14:cfvo type="max"/>
            </x14:dataBar>
          </x14:cfRule>
          <xm:sqref>F10037:F14737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1"/>
  <sheetViews>
    <sheetView topLeftCell="A13" workbookViewId="0">
      <selection activeCell="D36" sqref="D36"/>
    </sheetView>
  </sheetViews>
  <sheetFormatPr defaultRowHeight="15" x14ac:dyDescent="0.25"/>
  <cols>
    <col min="1" max="1" width="12" style="4" bestFit="1" customWidth="1"/>
    <col min="2" max="2" width="9.140625" style="4"/>
    <col min="3" max="3" width="10.7109375" style="4" bestFit="1" customWidth="1"/>
    <col min="4" max="4" width="8" style="4" bestFit="1" customWidth="1"/>
    <col min="5" max="13" width="9.140625" style="4"/>
    <col min="14" max="14" width="19.7109375" style="4" bestFit="1" customWidth="1"/>
    <col min="15" max="16384" width="9.140625" style="4"/>
  </cols>
  <sheetData>
    <row r="1" spans="13:19" x14ac:dyDescent="0.25">
      <c r="M1"/>
      <c r="N1"/>
      <c r="O1"/>
      <c r="P1"/>
      <c r="Q1"/>
      <c r="R1"/>
      <c r="S1"/>
    </row>
    <row r="2" spans="13:19" x14ac:dyDescent="0.25">
      <c r="M2"/>
      <c r="N2"/>
      <c r="O2"/>
      <c r="P2"/>
      <c r="Q2"/>
      <c r="R2"/>
      <c r="S2"/>
    </row>
    <row r="3" spans="13:19" x14ac:dyDescent="0.25">
      <c r="M3"/>
      <c r="N3"/>
      <c r="O3"/>
      <c r="P3"/>
      <c r="Q3"/>
      <c r="R3"/>
      <c r="S3"/>
    </row>
    <row r="4" spans="13:19" x14ac:dyDescent="0.25">
      <c r="M4"/>
      <c r="N4"/>
      <c r="O4"/>
      <c r="P4"/>
      <c r="Q4"/>
      <c r="R4"/>
      <c r="S4"/>
    </row>
    <row r="5" spans="13:19" x14ac:dyDescent="0.25">
      <c r="M5"/>
      <c r="N5"/>
      <c r="O5"/>
      <c r="P5"/>
      <c r="Q5"/>
      <c r="R5"/>
      <c r="S5"/>
    </row>
    <row r="6" spans="13:19" x14ac:dyDescent="0.25">
      <c r="M6"/>
      <c r="N6"/>
      <c r="O6"/>
      <c r="P6"/>
      <c r="Q6"/>
      <c r="R6"/>
      <c r="S6"/>
    </row>
    <row r="7" spans="13:19" x14ac:dyDescent="0.25">
      <c r="M7"/>
      <c r="N7"/>
      <c r="O7"/>
      <c r="P7"/>
      <c r="Q7"/>
      <c r="R7"/>
      <c r="S7"/>
    </row>
    <row r="8" spans="13:19" x14ac:dyDescent="0.25">
      <c r="M8"/>
      <c r="N8"/>
      <c r="O8"/>
      <c r="P8"/>
      <c r="Q8"/>
      <c r="R8"/>
      <c r="S8"/>
    </row>
    <row r="9" spans="13:19" x14ac:dyDescent="0.25">
      <c r="M9"/>
      <c r="N9"/>
      <c r="O9"/>
      <c r="P9"/>
      <c r="Q9"/>
      <c r="R9"/>
      <c r="S9"/>
    </row>
    <row r="10" spans="13:19" x14ac:dyDescent="0.25">
      <c r="M10"/>
      <c r="N10"/>
      <c r="O10"/>
      <c r="P10"/>
      <c r="Q10"/>
      <c r="R10"/>
      <c r="S10"/>
    </row>
    <row r="11" spans="13:19" x14ac:dyDescent="0.25">
      <c r="M11"/>
      <c r="N11"/>
      <c r="O11"/>
      <c r="P11"/>
      <c r="Q11"/>
      <c r="R11"/>
      <c r="S11"/>
    </row>
    <row r="12" spans="13:19" x14ac:dyDescent="0.25">
      <c r="M12"/>
      <c r="N12"/>
      <c r="O12"/>
      <c r="P12"/>
      <c r="Q12"/>
      <c r="R12"/>
      <c r="S12"/>
    </row>
    <row r="13" spans="13:19" x14ac:dyDescent="0.25">
      <c r="M13"/>
      <c r="N13"/>
      <c r="O13"/>
      <c r="P13"/>
      <c r="Q13"/>
      <c r="R13"/>
      <c r="S13"/>
    </row>
    <row r="14" spans="13:19" x14ac:dyDescent="0.25">
      <c r="M14"/>
      <c r="N14"/>
      <c r="O14"/>
      <c r="P14"/>
      <c r="Q14"/>
      <c r="R14"/>
      <c r="S14"/>
    </row>
    <row r="15" spans="13:19" x14ac:dyDescent="0.25">
      <c r="M15"/>
      <c r="N15"/>
      <c r="O15"/>
      <c r="P15"/>
      <c r="Q15"/>
      <c r="R15"/>
      <c r="S15"/>
    </row>
    <row r="16" spans="13:19" x14ac:dyDescent="0.25">
      <c r="M16"/>
      <c r="N16"/>
      <c r="O16"/>
      <c r="P16"/>
      <c r="Q16"/>
      <c r="R16"/>
      <c r="S16"/>
    </row>
    <row r="17" spans="1:19" x14ac:dyDescent="0.25">
      <c r="M17"/>
      <c r="N17"/>
      <c r="O17"/>
      <c r="P17"/>
      <c r="Q17"/>
      <c r="R17"/>
      <c r="S17"/>
    </row>
    <row r="18" spans="1:19" x14ac:dyDescent="0.25">
      <c r="M18"/>
      <c r="N18"/>
      <c r="O18"/>
      <c r="P18"/>
      <c r="Q18"/>
      <c r="R18"/>
      <c r="S18"/>
    </row>
    <row r="19" spans="1:19" x14ac:dyDescent="0.25">
      <c r="M19"/>
      <c r="N19"/>
      <c r="O19"/>
      <c r="P19"/>
      <c r="Q19"/>
      <c r="R19"/>
      <c r="S19"/>
    </row>
    <row r="20" spans="1:19" x14ac:dyDescent="0.25">
      <c r="M20"/>
      <c r="N20"/>
      <c r="O20"/>
      <c r="P20"/>
      <c r="Q20"/>
      <c r="R20"/>
      <c r="S20"/>
    </row>
    <row r="21" spans="1:19" x14ac:dyDescent="0.25">
      <c r="M21"/>
      <c r="N21"/>
      <c r="O21"/>
      <c r="P21"/>
      <c r="Q21"/>
      <c r="R21"/>
      <c r="S21"/>
    </row>
    <row r="22" spans="1:19" x14ac:dyDescent="0.25">
      <c r="M22"/>
      <c r="N22"/>
      <c r="O22"/>
      <c r="P22"/>
      <c r="Q22"/>
      <c r="R22"/>
      <c r="S22"/>
    </row>
    <row r="23" spans="1:19" x14ac:dyDescent="0.25">
      <c r="M23"/>
      <c r="N23"/>
      <c r="O23"/>
      <c r="P23"/>
      <c r="Q23"/>
      <c r="R23"/>
      <c r="S23"/>
    </row>
    <row r="24" spans="1:19" x14ac:dyDescent="0.25">
      <c r="M24"/>
      <c r="N24"/>
      <c r="O24"/>
      <c r="P24"/>
      <c r="Q24"/>
      <c r="R24"/>
      <c r="S24"/>
    </row>
    <row r="25" spans="1:19" x14ac:dyDescent="0.25">
      <c r="M25"/>
      <c r="N25"/>
      <c r="O25"/>
      <c r="P25"/>
      <c r="Q25"/>
      <c r="R25"/>
      <c r="S25"/>
    </row>
    <row r="26" spans="1:19" x14ac:dyDescent="0.25">
      <c r="M26"/>
      <c r="N26"/>
      <c r="O26"/>
      <c r="P26"/>
      <c r="Q26"/>
      <c r="R26"/>
      <c r="S26"/>
    </row>
    <row r="27" spans="1:19" x14ac:dyDescent="0.25">
      <c r="M27"/>
      <c r="N27"/>
      <c r="O27"/>
      <c r="P27"/>
      <c r="Q27"/>
      <c r="R27"/>
      <c r="S27"/>
    </row>
    <row r="28" spans="1:19" x14ac:dyDescent="0.25">
      <c r="M28"/>
      <c r="N28"/>
      <c r="O28"/>
      <c r="P28"/>
      <c r="Q28"/>
      <c r="R28"/>
      <c r="S28"/>
    </row>
    <row r="29" spans="1:19" x14ac:dyDescent="0.25">
      <c r="A29" s="17" t="s">
        <v>28</v>
      </c>
      <c r="B29" s="29"/>
      <c r="C29" s="17" t="s">
        <v>29</v>
      </c>
      <c r="D29" s="30"/>
      <c r="E29"/>
      <c r="M29"/>
      <c r="N29"/>
      <c r="O29"/>
      <c r="P29"/>
      <c r="Q29"/>
      <c r="R29"/>
      <c r="S29"/>
    </row>
    <row r="30" spans="1:19" x14ac:dyDescent="0.25">
      <c r="A30" s="17" t="s">
        <v>0</v>
      </c>
      <c r="B30" s="29"/>
      <c r="C30" s="17" t="s">
        <v>30</v>
      </c>
      <c r="D30" s="28"/>
      <c r="E30"/>
      <c r="M30"/>
      <c r="N30"/>
      <c r="O30"/>
      <c r="P30"/>
      <c r="Q30"/>
      <c r="R30"/>
      <c r="S30"/>
    </row>
    <row r="31" spans="1:19" x14ac:dyDescent="0.25">
      <c r="A31" s="19" t="s">
        <v>7</v>
      </c>
      <c r="B31" s="24"/>
      <c r="C31" s="25"/>
      <c r="D31" s="26"/>
      <c r="E31"/>
    </row>
    <row r="32" spans="1:19" x14ac:dyDescent="0.25">
      <c r="A32" s="11" t="s">
        <v>3</v>
      </c>
      <c r="B32" s="10" t="s">
        <v>4</v>
      </c>
      <c r="C32" s="8" t="s">
        <v>6</v>
      </c>
      <c r="D32" s="20" t="s">
        <v>5</v>
      </c>
      <c r="E32"/>
    </row>
    <row r="33" spans="1:5" x14ac:dyDescent="0.25">
      <c r="A33" s="12">
        <v>0</v>
      </c>
      <c r="B33" s="9">
        <v>0</v>
      </c>
      <c r="C33" s="9">
        <v>1</v>
      </c>
      <c r="D33" s="21">
        <v>1</v>
      </c>
      <c r="E33"/>
    </row>
    <row r="34" spans="1:5" x14ac:dyDescent="0.25">
      <c r="A34" s="49" t="s">
        <v>1</v>
      </c>
      <c r="B34" s="50"/>
      <c r="C34" s="51" t="s">
        <v>2</v>
      </c>
      <c r="D34" s="52"/>
      <c r="E34"/>
    </row>
    <row r="35" spans="1:5" ht="15.75" thickBot="1" x14ac:dyDescent="0.3">
      <c r="A35" s="13" t="s">
        <v>12</v>
      </c>
      <c r="B35" s="14" t="s">
        <v>0</v>
      </c>
      <c r="C35" s="15" t="s">
        <v>12</v>
      </c>
      <c r="D35" s="22" t="s">
        <v>0</v>
      </c>
      <c r="E35"/>
    </row>
    <row r="36" spans="1:5" x14ac:dyDescent="0.25">
      <c r="A36" s="34">
        <f>(1/Sampling_rate)/60</f>
        <v>4.1666666666666666E-3</v>
      </c>
      <c r="B36"/>
      <c r="C36" s="34">
        <f>(A36*C$33)+A$33</f>
        <v>4.1666666666666666E-3</v>
      </c>
      <c r="D36">
        <f ca="1">(B36*D$33)+B$33+(IF(add_noise="Y",(noise_av*RAND()*((-1)^INT(RAND()*10))*1.8),0))</f>
        <v>0</v>
      </c>
    </row>
    <row r="37" spans="1:5" x14ac:dyDescent="0.25">
      <c r="A37" s="34">
        <f>A36+((1/Sampling_rate)/60)</f>
        <v>8.3333333333333332E-3</v>
      </c>
      <c r="B37"/>
      <c r="C37"/>
      <c r="D37">
        <f>MEDIAN(((B36*D$33)+B$33),((B37*D$33)+B$33),((B38*D$33)+B$33))</f>
        <v>0</v>
      </c>
    </row>
    <row r="38" spans="1:5" x14ac:dyDescent="0.25">
      <c r="A38"/>
      <c r="B38"/>
      <c r="C38"/>
      <c r="D38" s="4">
        <f>MEDIAN(((B36*D$33)+B$33),((B37*D$33)+B$33),((B38*D$33)+B$33),((B39*D$33)+B$33),((B40*D$33)+B$33))</f>
        <v>0</v>
      </c>
    </row>
    <row r="39" spans="1:5" x14ac:dyDescent="0.25">
      <c r="A39"/>
      <c r="B39"/>
      <c r="C39"/>
      <c r="D39"/>
    </row>
    <row r="40" spans="1:5" x14ac:dyDescent="0.25">
      <c r="A40"/>
      <c r="B40"/>
      <c r="C40"/>
      <c r="D40"/>
    </row>
    <row r="41" spans="1:5" x14ac:dyDescent="0.25">
      <c r="A41"/>
      <c r="B41"/>
      <c r="C41"/>
      <c r="D41"/>
    </row>
  </sheetData>
  <mergeCells count="2">
    <mergeCell ref="A34:B34"/>
    <mergeCell ref="C34:D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sqref="A1:E1048576"/>
    </sheetView>
  </sheetViews>
  <sheetFormatPr defaultRowHeight="15" x14ac:dyDescent="0.25"/>
  <sheetData>
    <row r="1" spans="1:1" x14ac:dyDescent="0.25">
      <c r="A1" t="s">
        <v>49</v>
      </c>
    </row>
    <row r="2" spans="1:1" x14ac:dyDescent="0.25">
      <c r="A2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" sqref="F1:F10001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Analysis</vt:lpstr>
      <vt:lpstr>Template</vt:lpstr>
      <vt:lpstr>Import</vt:lpstr>
      <vt:lpstr>Export</vt:lpstr>
      <vt:lpstr>add_noise</vt:lpstr>
      <vt:lpstr>bars</vt:lpstr>
      <vt:lpstr>bg_end</vt:lpstr>
      <vt:lpstr>bg_start</vt:lpstr>
      <vt:lpstr>cur_val</vt:lpstr>
      <vt:lpstr>exp_cur</vt:lpstr>
      <vt:lpstr>exp_scale</vt:lpstr>
      <vt:lpstr>med_filter</vt:lpstr>
      <vt:lpstr>noise_av</vt:lpstr>
      <vt:lpstr>Sampling_rate</vt:lpstr>
      <vt:lpstr>X_scale</vt:lpstr>
      <vt:lpstr>X_stack</vt:lpstr>
      <vt:lpstr>Y_scale</vt:lpstr>
      <vt:lpstr>Y_stack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Mirzok</dc:creator>
  <cp:lastModifiedBy>Mirzok</cp:lastModifiedBy>
  <cp:lastPrinted>2014-10-15T22:32:31Z</cp:lastPrinted>
  <dcterms:created xsi:type="dcterms:W3CDTF">2006-09-16T00:00:00Z</dcterms:created>
  <dcterms:modified xsi:type="dcterms:W3CDTF">2016-07-05T17:30:36Z</dcterms:modified>
</cp:coreProperties>
</file>